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Test Cases" sheetId="3" state="visible" r:id="rId3"/>
    <sheet xmlns:r="http://schemas.openxmlformats.org/officeDocument/2006/relationships" name="Features" sheetId="4" state="visible" r:id="rId4"/>
    <sheet xmlns:r="http://schemas.openxmlformats.org/officeDocument/2006/relationships" name="Modules" sheetId="5" state="visible" r:id="rId5"/>
    <sheet xmlns:r="http://schemas.openxmlformats.org/officeDocument/2006/relationships" name="FUNC COV" sheetId="6" state="visible" r:id="rId6"/>
    <sheet xmlns:r="http://schemas.openxmlformats.org/officeDocument/2006/relationships" name="SVA" sheetId="7" state="visible" r:id="rId7"/>
    <sheet xmlns:r="http://schemas.openxmlformats.org/officeDocument/2006/relationships" name="Parameters" sheetId="8" state="visible" r:id="rId8"/>
  </sheets>
  <definedNames>
    <definedName name="_xlnm._FilterDatabase" localSheetId="2" hidden="1">'Test Cases'!$A$1:$J$21</definedName>
    <definedName name="_xlnm._FilterDatabase" localSheetId="3" hidden="1">'Features'!$A$1:$I$9</definedName>
    <definedName name="_xlnm._FilterDatabase" localSheetId="4" hidden="1">'Modules'!$A$1:$E$2</definedName>
    <definedName name="_xlnm._FilterDatabase" localSheetId="5" hidden="1">'FUNC COV'!$A$1:$E$13</definedName>
    <definedName name="_xlnm._FilterDatabase" localSheetId="6" hidden="1">'SVA'!$A$1:$E$3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A5F"/>
      <sz val="18"/>
    </font>
    <font>
      <name val="Calibri"/>
      <i val="1"/>
      <color rgb="006B7280"/>
      <sz val="11"/>
    </font>
    <font>
      <name val="Calibri"/>
      <color rgb="001B1B1F"/>
      <sz val="10.5"/>
    </font>
    <font>
      <name val="Calibri"/>
      <color rgb="00FFFFFF"/>
      <sz val="10"/>
    </font>
    <font>
      <name val="Calibri"/>
      <b val="1"/>
      <color rgb="00FFFFFF"/>
      <sz val="20"/>
    </font>
    <font>
      <name val="Calibri"/>
      <b val="1"/>
      <color rgb="002E5590"/>
      <sz val="10.5"/>
    </font>
    <font>
      <name val="Calibri"/>
      <b val="1"/>
      <color rgb="00FFFFFF"/>
      <sz val="10"/>
    </font>
    <font>
      <name val="Calibri"/>
      <b val="1"/>
      <color rgb="001F3A5F"/>
      <sz val="9"/>
    </font>
  </fonts>
  <fills count="9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7AE60"/>
        <bgColor rgb="0027AE60"/>
      </patternFill>
    </fill>
    <fill>
      <patternFill patternType="solid">
        <fgColor rgb="002E5590"/>
        <bgColor rgb="002E5590"/>
      </patternFill>
    </fill>
    <fill>
      <patternFill patternType="solid">
        <fgColor rgb="00F2994A"/>
        <bgColor rgb="00F2994A"/>
      </patternFill>
    </fill>
    <fill>
      <patternFill patternType="solid">
        <fgColor rgb="00EB5757"/>
        <bgColor rgb="00EB5757"/>
      </patternFill>
    </fill>
    <fill>
      <patternFill patternType="solid">
        <fgColor rgb="00828282"/>
        <bgColor rgb="00828282"/>
      </patternFill>
    </fill>
    <fill>
      <patternFill patternType="solid">
        <fgColor rgb="002F80ED"/>
        <bgColor rgb="002F80ED"/>
      </patternFill>
    </fill>
  </fills>
  <borders count="3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  <border/>
  </borders>
  <cellStyleXfs count="8">
    <xf numFmtId="0" fontId="0" fillId="0" borderId="0"/>
    <xf numFmtId="0" fontId="1" fillId="2" borderId="1" applyAlignment="1">
      <alignment horizontal="center" vertical="center" wrapText="1"/>
    </xf>
    <xf numFmtId="0" fontId="2" fillId="0" borderId="2" applyAlignment="1">
      <alignment horizontal="left" vertical="center"/>
    </xf>
    <xf numFmtId="0" fontId="3" fillId="0" borderId="2" applyAlignment="1">
      <alignment horizontal="left" vertical="center"/>
    </xf>
    <xf numFmtId="0" fontId="4" fillId="0" borderId="1" applyAlignment="1">
      <alignment horizontal="left" vertical="center" wrapText="1"/>
    </xf>
    <xf numFmtId="0" fontId="4" fillId="0" borderId="1" applyAlignment="1">
      <alignment horizontal="center" vertical="center" wrapText="1"/>
    </xf>
    <xf numFmtId="0" fontId="5" fillId="0" borderId="2" applyAlignment="1">
      <alignment horizontal="center" vertical="center" wrapText="1"/>
    </xf>
    <xf numFmtId="0" fontId="6" fillId="0" borderId="2" applyAlignment="1">
      <alignment horizontal="center" vertical="center" wrapText="1"/>
    </xf>
  </cellStyleXfs>
  <cellXfs count="33">
    <xf numFmtId="0" fontId="0" fillId="0" borderId="0" pivotButton="0" quotePrefix="0" xfId="0"/>
    <xf numFmtId="0" fontId="2" fillId="0" borderId="2" applyAlignment="1" pivotButton="0" quotePrefix="0" xfId="2">
      <alignment horizontal="left" vertical="center"/>
    </xf>
    <xf numFmtId="0" fontId="3" fillId="0" borderId="2" applyAlignment="1" pivotButton="0" quotePrefix="0" xfId="3">
      <alignment horizontal="left" vertical="center"/>
    </xf>
    <xf numFmtId="0" fontId="7" fillId="0" borderId="0" pivotButton="0" quotePrefix="0" xfId="0"/>
    <xf numFmtId="0" fontId="6" fillId="2" borderId="2" applyAlignment="1" pivotButton="0" quotePrefix="0" xfId="7">
      <alignment horizontal="center" vertical="center" wrapText="1"/>
    </xf>
    <xf numFmtId="0" fontId="0" fillId="2" borderId="0" pivotButton="0" quotePrefix="0" xfId="0"/>
    <xf numFmtId="0" fontId="6" fillId="3" borderId="2" applyAlignment="1" pivotButton="0" quotePrefix="0" xfId="7">
      <alignment horizontal="center" vertical="center" wrapText="1"/>
    </xf>
    <xf numFmtId="0" fontId="0" fillId="3" borderId="0" pivotButton="0" quotePrefix="0" xfId="0"/>
    <xf numFmtId="0" fontId="6" fillId="4" borderId="2" applyAlignment="1" pivotButton="0" quotePrefix="0" xfId="7">
      <alignment horizontal="center" vertical="center" wrapText="1"/>
    </xf>
    <xf numFmtId="0" fontId="0" fillId="4" borderId="0" pivotButton="0" quotePrefix="0" xfId="0"/>
    <xf numFmtId="0" fontId="6" fillId="5" borderId="2" applyAlignment="1" pivotButton="0" quotePrefix="0" xfId="7">
      <alignment horizontal="center" vertical="center" wrapText="1"/>
    </xf>
    <xf numFmtId="0" fontId="0" fillId="5" borderId="0" pivotButton="0" quotePrefix="0" xfId="0"/>
    <xf numFmtId="0" fontId="6" fillId="6" borderId="2" applyAlignment="1" pivotButton="0" quotePrefix="0" xfId="7">
      <alignment horizontal="center" vertical="center" wrapText="1"/>
    </xf>
    <xf numFmtId="0" fontId="0" fillId="6" borderId="0" pivotButton="0" quotePrefix="0" xfId="0"/>
    <xf numFmtId="0" fontId="6" fillId="7" borderId="2" applyAlignment="1" pivotButton="0" quotePrefix="0" xfId="7">
      <alignment horizontal="center" vertical="center" wrapText="1"/>
    </xf>
    <xf numFmtId="0" fontId="0" fillId="7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165" fontId="6" fillId="8" borderId="2" applyAlignment="1" pivotButton="0" quotePrefix="0" xfId="7">
      <alignment horizontal="center" vertical="center" wrapText="1"/>
    </xf>
    <xf numFmtId="0" fontId="0" fillId="8" borderId="0" pivotButton="0" quotePrefix="0" xfId="0"/>
    <xf numFmtId="165" fontId="6" fillId="3" borderId="2" applyAlignment="1" pivotButton="0" quotePrefix="0" xfId="7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9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4" fillId="0" borderId="1" applyAlignment="1" pivotButton="0" quotePrefix="0" xfId="4">
      <alignment horizontal="left" vertical="center" wrapText="1"/>
    </xf>
    <xf numFmtId="0" fontId="4" fillId="0" borderId="1" applyAlignment="1" pivotButton="0" quotePrefix="0" xfId="5">
      <alignment horizontal="center" vertical="center" wrapText="1"/>
    </xf>
    <xf numFmtId="165" fontId="4" fillId="0" borderId="1" applyAlignment="1" pivotButton="0" quotePrefix="0" xfId="5">
      <alignment horizontal="center" vertical="center" wrapText="1"/>
    </xf>
    <xf numFmtId="164" fontId="4" fillId="0" borderId="1" applyAlignment="1" pivotButton="0" quotePrefix="0" xfId="5">
      <alignment horizontal="center" vertical="center" wrapText="1"/>
    </xf>
  </cellXfs>
  <cellStyles count="8">
    <cellStyle name="Normal" xfId="0" builtinId="0" hidden="0"/>
    <cellStyle name="tbl_header" xfId="1" hidden="0"/>
    <cellStyle name="sheet_title" xfId="2" hidden="0"/>
    <cellStyle name="sheet_subtitle" xfId="3" hidden="0"/>
    <cellStyle name="tbl_body" xfId="4" hidden="0"/>
    <cellStyle name="tbl_body_center" xfId="5" hidden="0"/>
    <cellStyle name="kpi_label" xfId="6" hidden="0"/>
    <cellStyle name="kpi_value" xfId="7" hidden="0"/>
  </cellStyles>
  <dxfs count="8">
    <dxf>
      <fill>
        <patternFill patternType="solid">
          <fgColor rgb="00E8E8E8"/>
          <bgColor rgb="00E8E8E8"/>
        </patternFill>
      </fill>
    </dxf>
    <dxf>
      <fill>
        <patternFill patternType="solid">
          <fgColor rgb="00FDECD8"/>
          <bgColor rgb="00FDECD8"/>
        </patternFill>
      </fill>
    </dxf>
    <dxf>
      <fill>
        <patternFill patternType="solid">
          <fgColor rgb="00D8F5E3"/>
          <bgColor rgb="00D8F5E3"/>
        </patternFill>
      </fill>
    </dxf>
    <dxf>
      <fill>
        <patternFill patternType="solid">
          <fgColor rgb="00FDE1E1"/>
          <bgColor rgb="00FDE1E1"/>
        </patternFill>
      </fill>
    </dxf>
    <dxf>
      <fill>
        <patternFill patternType="solid">
          <fgColor rgb="00AED6F1"/>
          <bgColor rgb="00AED6F1"/>
        </patternFill>
      </fill>
    </dxf>
    <dxf>
      <fill>
        <patternFill patternType="solid">
          <fgColor rgb="00F5CBA7"/>
          <bgColor rgb="00F5CBA7"/>
        </patternFill>
      </fill>
    </dxf>
    <dxf>
      <fill>
        <patternFill patternType="solid">
          <fgColor rgb="00A9DFBF"/>
          <bgColor rgb="00A9DFBF"/>
        </patternFill>
      </fill>
    </dxf>
    <dxf>
      <fill>
        <patternFill patternType="solid">
          <fgColor rgb="00F9E79F"/>
          <bgColor rgb="00F9E79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'Dashboard'!$B$20:$B$23</f>
            </numRef>
          </cat>
          <val>
            <numRef>
              <f>'Dashboard'!$C$20:$C$23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Rate by Developer</a:t>
            </a:r>
          </a:p>
        </rich>
      </tx>
    </title>
    <plotArea>
      <barChart>
        <barDir val="bar"/>
        <grouping val="clustered"/>
        <ser>
          <idx val="0"/>
          <order val="0"/>
          <tx>
            <v>Kareem</v>
          </tx>
          <spPr>
            <a:solidFill xmlns:a="http://schemas.openxmlformats.org/drawingml/2006/main">
              <a:srgbClr val="AED6F1"/>
            </a:solidFill>
            <a:ln xmlns:a="http://schemas.openxmlformats.org/drawingml/2006/main">
              <a:prstDash val="solid"/>
            </a:ln>
          </spPr>
          <cat>
            <numRef>
              <f>'Dashboard'!$I$19</f>
            </numRef>
          </cat>
          <val>
            <numRef>
              <f>'Dashboard'!$H$20</f>
            </numRef>
          </val>
        </ser>
        <ser>
          <idx val="1"/>
          <order val="1"/>
          <tx>
            <v>Zyad</v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prstDash val="solid"/>
            </a:ln>
          </spPr>
          <cat>
            <numRef>
              <f>'Dashboard'!$I$19</f>
            </numRef>
          </cat>
          <val>
            <numRef>
              <f>'Dashboard'!$H$21</f>
            </numRef>
          </val>
        </ser>
        <ser>
          <idx val="2"/>
          <order val="2"/>
          <tx>
            <v>Roaa</v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prstDash val="solid"/>
            </a:ln>
          </spPr>
          <cat>
            <numRef>
              <f>'Dashboard'!$I$19</f>
            </numRef>
          </cat>
          <val>
            <numRef>
              <f>'Dashboard'!$H$22</f>
            </numRef>
          </val>
        </ser>
        <ser>
          <idx val="3"/>
          <order val="3"/>
          <tx>
            <v>Dana</v>
          </tx>
          <spPr>
            <a:solidFill xmlns:a="http://schemas.openxmlformats.org/drawingml/2006/main">
              <a:srgbClr val="F9E79F"/>
            </a:solidFill>
            <a:ln xmlns:a="http://schemas.openxmlformats.org/drawingml/2006/main">
              <a:prstDash val="solid"/>
            </a:ln>
          </spPr>
          <cat>
            <numRef>
              <f>'Dashboard'!$I$19</f>
            </numRef>
          </cat>
          <val>
            <numRef>
              <f>'Dashboard'!$H$23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Coverpoint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'Dashboard'!K19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'Dashboard'!$J$20:$J$23</f>
            </numRef>
          </cat>
          <val>
            <numRef>
              <f>'Dashboard'!$K$20:$K$23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SVA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'Dashboard'!N19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'Dashboard'!$M$20:$M$23</f>
            </numRef>
          </cat>
          <val>
            <numRef>
              <f>'Dashboard'!$N$20:$N$23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Verification Plan Generator</author>
  </authors>
  <commentList>
    <comment ref="H1" authorId="0" shapeId="0">
      <text>
        <t>This column is not auto-updated by a formula (plain Excel formulas can't detect 'my neighbor cell just changed'). Please update the date by hand whenever you change Status or Owner.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24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24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23</col>
      <colOff>0</colOff>
      <row>24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CasesTable" displayName="TestCasesTable" ref="A1:J21" headerRowCount="1">
  <autoFilter ref="A1:J21"/>
  <tableColumns count="10">
    <tableColumn id="1" name="Test Case ID"/>
    <tableColumn id="2" name="Feature"/>
    <tableColumn id="3" name="Parameter"/>
    <tableColumn id="4" name="Value"/>
    <tableColumn id="5" name="Expected Behaviour"/>
    <tableColumn id="6" name="Status"/>
    <tableColumn id="7" name="Owner"/>
    <tableColumn id="8" name="Last Modified"/>
    <tableColumn id="9" name="Feature Key"/>
    <tableColumn id="10" name="Module ID"/>
  </tableColumns>
  <tableStyleInfo name="TableStyleMedium9" showFirstColumn="0" showRowStripes="1"/>
</table>
</file>

<file path=xl/tables/table2.xml><?xml version="1.0" encoding="utf-8"?>
<table xmlns="http://schemas.openxmlformats.org/spreadsheetml/2006/main" id="2" name="FeaturesTable" displayName="FeaturesTable" ref="A1:I9" headerRowCount="1">
  <autoFilter ref="A1:I9"/>
  <tableColumns count="9">
    <tableColumn id="1" name="Feature ID"/>
    <tableColumn id="2" name="Feature"/>
    <tableColumn id="3" name="Description"/>
    <tableColumn id="4" name="Verification Goal"/>
    <tableColumn id="5" name="Related Testcases"/>
    <tableColumn id="6" name="Passed Testcases"/>
    <tableColumn id="7" name="Completion %"/>
    <tableColumn id="8" name="Status"/>
    <tableColumn id="9" name="Module ID"/>
  </tableColumns>
  <tableStyleInfo name="TableStyleMedium9" showFirstColumn="0" showRowStripes="1"/>
</table>
</file>

<file path=xl/tables/table3.xml><?xml version="1.0" encoding="utf-8"?>
<table xmlns="http://schemas.openxmlformats.org/spreadsheetml/2006/main" id="3" name="ModulesTable" displayName="ModulesTable" ref="A1:E2" headerRowCount="1">
  <autoFilter ref="A1:E2"/>
  <tableColumns count="5">
    <tableColumn id="1" name="Module ID"/>
    <tableColumn id="2" name="Module Name"/>
    <tableColumn id="3" name="Status"/>
    <tableColumn id="4" name="Total Features"/>
    <tableColumn id="5" name="Completed Features"/>
  </tableColumns>
  <tableStyleInfo name="TableStyleMedium9" showFirstColumn="0" showRowStripes="1"/>
</table>
</file>

<file path=xl/tables/table4.xml><?xml version="1.0" encoding="utf-8"?>
<table xmlns="http://schemas.openxmlformats.org/spreadsheetml/2006/main" id="4" name="FuncCovTable" displayName="FuncCovTable" ref="A1:E13" headerRowCount="1">
  <autoFilter ref="A1:E13"/>
  <tableColumns count="5">
    <tableColumn id="1" name="Cov Grp ID"/>
    <tableColumn id="2" name="Covergroup Name"/>
    <tableColumn id="3" name="Coverpoint Name"/>
    <tableColumn id="4" name="Type"/>
    <tableColumn id="5" name="Status"/>
  </tableColumns>
  <tableStyleInfo name="TableStyleMedium9" showFirstColumn="0" showRowStripes="1"/>
</table>
</file>

<file path=xl/tables/table5.xml><?xml version="1.0" encoding="utf-8"?>
<table xmlns="http://schemas.openxmlformats.org/spreadsheetml/2006/main" id="5" name="SVATable" displayName="SVATable" ref="A1:E3" headerRowCount="1">
  <autoFilter ref="A1:E3"/>
  <tableColumns count="5">
    <tableColumn id="1" name="Assert ID"/>
    <tableColumn id="2" name="Assertion Name"/>
    <tableColumn id="3" name="Type"/>
    <tableColumn id="4" name="Property"/>
    <tableColumn id="5" name="Status"/>
  </tableColumns>
  <tableStyleInfo name="TableStyleMedium9" showFirstColumn="0" showRowStripes="1"/>
</table>
</file>

<file path=xl/tables/table6.xml><?xml version="1.0" encoding="utf-8"?>
<table xmlns="http://schemas.openxmlformats.org/spreadsheetml/2006/main" id="6" name="ParametersTable" displayName="ParametersTable" ref="A4:D24" headerRowCount="1">
  <autoFilter ref="A4:D24"/>
  <tableColumns count="4">
    <tableColumn id="1" name="Module ID"/>
    <tableColumn id="2" name="Parameter"/>
    <tableColumn id="3" name="Value Index"/>
    <tableColumn id="4" name="Value"/>
  </tableColumns>
  <tableStyleInfo name="TableStyleMedium9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2">
      <c r="B2" s="1" t="inlineStr">
        <is>
          <t>Edge AI Accelerator FPGA-Based</t>
        </is>
      </c>
    </row>
    <row r="3">
      <c r="B3" s="2" t="inlineStr">
        <is>
          <t>Verification Plan Dashboard</t>
        </is>
      </c>
    </row>
    <row r="4">
      <c r="B4" s="3" t="inlineStr">
        <is>
          <t>Team: Kareem, Zyad, Roaa, Dana</t>
        </is>
      </c>
    </row>
    <row r="6" ht="32" customHeight="1">
      <c r="B6" s="4">
        <f>COUNTA('Features'!$A$2:$A$9)</f>
        <v/>
      </c>
      <c r="C6" s="5" t="n"/>
      <c r="D6" s="5" t="n"/>
      <c r="E6" s="6">
        <f>COUNTIF('Features'!$H$2:$H$9,"COMPLETE")</f>
        <v/>
      </c>
      <c r="F6" s="7" t="n"/>
      <c r="G6" s="7" t="n"/>
      <c r="H6" s="8">
        <f>COUNTA('Test Cases'!$A$2:$A$21)</f>
        <v/>
      </c>
      <c r="I6" s="9" t="n"/>
      <c r="J6" s="9" t="n"/>
      <c r="K6" s="6">
        <f>COUNTIF('Test Cases'!$F$2:$F$21,"Passed")</f>
        <v/>
      </c>
      <c r="L6" s="7" t="n"/>
      <c r="M6" s="7" t="n"/>
      <c r="N6" s="10">
        <f>MAX(0,(COUNTA('Test Cases'!$A$2:$A$21))-(COUNTIF('Test Cases'!$F$2:$F$21,"Passed"))-(COUNTIF('Test Cases'!$F$2:$F$21,"Failed"))-(COUNTIF('Test Cases'!$F$2:$F$21,"NotStarted")))</f>
        <v/>
      </c>
      <c r="O6" s="11" t="n"/>
      <c r="P6" s="11" t="n"/>
      <c r="Q6" s="12">
        <f>COUNTIF('Test Cases'!$F$2:$F$21,"Failed")</f>
        <v/>
      </c>
      <c r="R6" s="13" t="n"/>
      <c r="S6" s="13" t="n"/>
      <c r="T6" s="14">
        <f>COUNTIF('Test Cases'!$F$2:$F$21,"NotStarted")</f>
        <v/>
      </c>
      <c r="U6" s="15" t="n"/>
      <c r="V6" s="15" t="n"/>
    </row>
    <row r="7" ht="18" customHeight="1">
      <c r="B7" s="16" t="inlineStr">
        <is>
          <t>Total Features</t>
        </is>
      </c>
      <c r="C7" s="5" t="n"/>
      <c r="D7" s="5" t="n"/>
      <c r="E7" s="17" t="inlineStr">
        <is>
          <t>Completed Features</t>
        </is>
      </c>
      <c r="F7" s="7" t="n"/>
      <c r="G7" s="7" t="n"/>
      <c r="H7" s="18" t="inlineStr">
        <is>
          <t>Total Test Cases</t>
        </is>
      </c>
      <c r="I7" s="9" t="n"/>
      <c r="J7" s="9" t="n"/>
      <c r="K7" s="17" t="inlineStr">
        <is>
          <t>Passed</t>
        </is>
      </c>
      <c r="L7" s="7" t="n"/>
      <c r="M7" s="7" t="n"/>
      <c r="N7" s="19" t="inlineStr">
        <is>
          <t>Pending</t>
        </is>
      </c>
      <c r="O7" s="11" t="n"/>
      <c r="P7" s="11" t="n"/>
      <c r="Q7" s="20" t="inlineStr">
        <is>
          <t>Failed</t>
        </is>
      </c>
      <c r="R7" s="13" t="n"/>
      <c r="S7" s="13" t="n"/>
      <c r="T7" s="21" t="inlineStr">
        <is>
          <t>Not Started</t>
        </is>
      </c>
      <c r="U7" s="15" t="n"/>
      <c r="V7" s="15" t="n"/>
    </row>
    <row r="9" ht="32" customHeight="1">
      <c r="B9" s="4">
        <f>COUNTA('Modules'!$A$2:$A$2)</f>
        <v/>
      </c>
      <c r="C9" s="5" t="n"/>
      <c r="D9" s="5" t="n"/>
      <c r="E9" s="6">
        <f>COUNTIF('Modules'!$C$2:$C$2,"COMPLETE")</f>
        <v/>
      </c>
      <c r="F9" s="7" t="n"/>
      <c r="G9" s="7" t="n"/>
      <c r="H9" s="8">
        <f>COUNTA('FUNC COV'!$C$2:$C$13)</f>
        <v/>
      </c>
      <c r="I9" s="9" t="n"/>
      <c r="J9" s="9" t="n"/>
      <c r="K9" s="6">
        <f>COUNTIF('FUNC COV'!$E$2:$E$13,"Hit")</f>
        <v/>
      </c>
      <c r="L9" s="7" t="n"/>
      <c r="M9" s="7" t="n"/>
      <c r="N9" s="8">
        <f>COUNTA('SVA'!$A$2:$A$3)</f>
        <v/>
      </c>
      <c r="O9" s="9" t="n"/>
      <c r="P9" s="9" t="n"/>
      <c r="Q9" s="6">
        <f>COUNTIF('SVA'!$E$2:$E$3,"Passed")</f>
        <v/>
      </c>
      <c r="R9" s="7" t="n"/>
      <c r="S9" s="7" t="n"/>
    </row>
    <row r="10" ht="18" customHeight="1">
      <c r="B10" s="16" t="inlineStr">
        <is>
          <t>Total Modules</t>
        </is>
      </c>
      <c r="C10" s="5" t="n"/>
      <c r="D10" s="5" t="n"/>
      <c r="E10" s="17" t="inlineStr">
        <is>
          <t>Modules Complete</t>
        </is>
      </c>
      <c r="F10" s="7" t="n"/>
      <c r="G10" s="7" t="n"/>
      <c r="H10" s="18" t="inlineStr">
        <is>
          <t>Total Coverpoints</t>
        </is>
      </c>
      <c r="I10" s="9" t="n"/>
      <c r="J10" s="9" t="n"/>
      <c r="K10" s="17" t="inlineStr">
        <is>
          <t>Coverpoints Hit</t>
        </is>
      </c>
      <c r="L10" s="7" t="n"/>
      <c r="M10" s="7" t="n"/>
      <c r="N10" s="18" t="inlineStr">
        <is>
          <t>Total SVA</t>
        </is>
      </c>
      <c r="O10" s="9" t="n"/>
      <c r="P10" s="9" t="n"/>
      <c r="Q10" s="17" t="inlineStr">
        <is>
          <t>SVA Passed</t>
        </is>
      </c>
      <c r="R10" s="7" t="n"/>
      <c r="S10" s="7" t="n"/>
    </row>
    <row r="12" ht="32" customHeight="1">
      <c r="B12" s="22">
        <f>IFERROR(((COUNTIF('Test Cases'!$F$2:$F$21,"Passed"))+(COUNTIF('Test Cases'!$F$2:$F$21,"Failed")))/(COUNTA('Test Cases'!$A$2:$A$21)),0)</f>
        <v/>
      </c>
      <c r="C12" s="23" t="n"/>
      <c r="D12" s="23" t="n"/>
      <c r="E12" s="23" t="n"/>
      <c r="F12" s="23" t="n"/>
      <c r="G12" s="23" t="n"/>
      <c r="H12" s="24">
        <f>IFERROR((COUNTIF('Test Cases'!$F$2:$F$21,"Passed"))/(COUNTA('Test Cases'!$A$2:$A$21)),0)</f>
        <v/>
      </c>
      <c r="I12" s="7" t="n"/>
      <c r="J12" s="7" t="n"/>
      <c r="K12" s="7" t="n"/>
      <c r="L12" s="7" t="n"/>
      <c r="M12" s="7" t="n"/>
      <c r="N12" s="22">
        <f>IFERROR((COUNTIF('FUNC COV'!$E$2:$E$13,"Hit"))/(COUNTA('FUNC COV'!$C$2:$C$13)),0)</f>
        <v/>
      </c>
      <c r="O12" s="23" t="n"/>
      <c r="P12" s="23" t="n"/>
      <c r="Q12" s="23" t="n"/>
      <c r="R12" s="23" t="n"/>
      <c r="S12" s="23" t="n"/>
      <c r="T12" s="24">
        <f>IFERROR((COUNTIF('SVA'!$E$2:$E$3,"Passed"))/(COUNTA('SVA'!$A$2:$A$3)),0)</f>
        <v/>
      </c>
      <c r="U12" s="7" t="n"/>
      <c r="V12" s="7" t="n"/>
      <c r="W12" s="7" t="n"/>
      <c r="X12" s="7" t="n"/>
      <c r="Y12" s="7" t="n"/>
    </row>
    <row r="13" ht="18" customHeight="1">
      <c r="B13" s="25" t="inlineStr">
        <is>
          <t>Overall Progress %</t>
        </is>
      </c>
      <c r="C13" s="23" t="n"/>
      <c r="D13" s="23" t="n"/>
      <c r="E13" s="23" t="n"/>
      <c r="F13" s="23" t="n"/>
      <c r="G13" s="23" t="n"/>
      <c r="H13" s="17" t="inlineStr">
        <is>
          <t>Overall Passed %</t>
        </is>
      </c>
      <c r="I13" s="7" t="n"/>
      <c r="J13" s="7" t="n"/>
      <c r="K13" s="7" t="n"/>
      <c r="L13" s="7" t="n"/>
      <c r="M13" s="7" t="n"/>
      <c r="N13" s="25" t="inlineStr">
        <is>
          <t>Functional Coverage %</t>
        </is>
      </c>
      <c r="O13" s="23" t="n"/>
      <c r="P13" s="23" t="n"/>
      <c r="Q13" s="23" t="n"/>
      <c r="R13" s="23" t="n"/>
      <c r="S13" s="23" t="n"/>
      <c r="T13" s="17" t="inlineStr">
        <is>
          <t>SVA Pass %</t>
        </is>
      </c>
      <c r="U13" s="7" t="n"/>
      <c r="V13" s="7" t="n"/>
      <c r="W13" s="7" t="n"/>
      <c r="X13" s="7" t="n"/>
      <c r="Y13" s="7" t="n"/>
    </row>
    <row r="15">
      <c r="B15" s="26" t="inlineStr">
        <is>
          <t>Progress</t>
        </is>
      </c>
      <c r="H15" s="26" t="inlineStr">
        <is>
          <t>Pass Rate</t>
        </is>
      </c>
    </row>
    <row r="16">
      <c r="B16" s="27">
        <f>IFERROR(((COUNTIF('Test Cases'!$F$2:$F$21,"Passed"))+(COUNTIF('Test Cases'!$F$2:$F$21,"Failed")))/(COUNTA('Test Cases'!$A$2:$A$21)),0)</f>
        <v/>
      </c>
      <c r="H16" s="27">
        <f>IFERROR((COUNTIF('Test Cases'!$F$2:$F$21,"Passed"))/(COUNTA('Test Cases'!$A$2:$A$21)),0)</f>
        <v/>
      </c>
    </row>
    <row r="19">
      <c r="B19" s="28" t="inlineStr">
        <is>
          <t>Status</t>
        </is>
      </c>
      <c r="C19" s="28" t="inlineStr">
        <is>
          <t>Count</t>
        </is>
      </c>
      <c r="E19" s="28" t="inlineStr">
        <is>
          <t>Developer</t>
        </is>
      </c>
      <c r="F19" s="28" t="inlineStr">
        <is>
          <t>Owned Testcases</t>
        </is>
      </c>
      <c r="G19" s="28" t="inlineStr">
        <is>
          <t>Passed</t>
        </is>
      </c>
      <c r="H19" s="28" t="inlineStr">
        <is>
          <t>Pass %</t>
        </is>
      </c>
      <c r="I19" t="inlineStr">
        <is>
          <t>Team</t>
        </is>
      </c>
      <c r="J19" s="28" t="inlineStr">
        <is>
          <t>Coverpoint Status</t>
        </is>
      </c>
      <c r="K19" s="28" t="inlineStr">
        <is>
          <t>Count</t>
        </is>
      </c>
      <c r="M19" s="28" t="inlineStr">
        <is>
          <t>SVA Status</t>
        </is>
      </c>
      <c r="N19" s="28" t="inlineStr">
        <is>
          <t>Count</t>
        </is>
      </c>
    </row>
    <row r="20">
      <c r="B20" s="29" t="inlineStr">
        <is>
          <t>NotStarted</t>
        </is>
      </c>
      <c r="C20" s="30">
        <f>COUNTIF('Test Cases'!$F$2:$F$21,"NotStarted")</f>
        <v/>
      </c>
      <c r="E20" s="29" t="inlineStr">
        <is>
          <t>Kareem</t>
        </is>
      </c>
      <c r="F20" s="30">
        <f>COUNTIF('Test Cases'!$G$2:$G$21,"Kareem")</f>
        <v/>
      </c>
      <c r="G20" s="30">
        <f>COUNTIFS('Test Cases'!$G$2:$G$21,"Kareem",'Test Cases'!$F$2:$F$21,"Passed")</f>
        <v/>
      </c>
      <c r="H20" s="31">
        <f>IFERROR(G20/F20,0)</f>
        <v/>
      </c>
      <c r="J20" s="29" t="inlineStr">
        <is>
          <t>NotStarted</t>
        </is>
      </c>
      <c r="K20" s="30">
        <f>COUNTIF('FUNC COV'!$E$2:$E$13,"NotStarted")</f>
        <v/>
      </c>
      <c r="M20" s="29" t="inlineStr">
        <is>
          <t>NotStarted</t>
        </is>
      </c>
      <c r="N20" s="30">
        <f>COUNTIF('SVA'!$E$2:$E$3,"NotStarted")</f>
        <v/>
      </c>
    </row>
    <row r="21">
      <c r="B21" s="29" t="inlineStr">
        <is>
          <t>Pending</t>
        </is>
      </c>
      <c r="C21" s="30">
        <f>COUNTIF('Test Cases'!$F$2:$F$21,"Pending")</f>
        <v/>
      </c>
      <c r="E21" s="29" t="inlineStr">
        <is>
          <t>Zyad</t>
        </is>
      </c>
      <c r="F21" s="30">
        <f>COUNTIF('Test Cases'!$G$2:$G$21,"Zyad")</f>
        <v/>
      </c>
      <c r="G21" s="30">
        <f>COUNTIFS('Test Cases'!$G$2:$G$21,"Zyad",'Test Cases'!$F$2:$F$21,"Passed")</f>
        <v/>
      </c>
      <c r="H21" s="31">
        <f>IFERROR(G21/F21,0)</f>
        <v/>
      </c>
      <c r="J21" s="29" t="inlineStr">
        <is>
          <t>Pending</t>
        </is>
      </c>
      <c r="K21" s="30">
        <f>COUNTIF('FUNC COV'!$E$2:$E$13,"Pending")</f>
        <v/>
      </c>
      <c r="M21" s="29" t="inlineStr">
        <is>
          <t>Pending</t>
        </is>
      </c>
      <c r="N21" s="30">
        <f>COUNTIF('SVA'!$E$2:$E$3,"Pending")</f>
        <v/>
      </c>
    </row>
    <row r="22">
      <c r="B22" s="29" t="inlineStr">
        <is>
          <t>Passed</t>
        </is>
      </c>
      <c r="C22" s="30">
        <f>COUNTIF('Test Cases'!$F$2:$F$21,"Passed")</f>
        <v/>
      </c>
      <c r="E22" s="29" t="inlineStr">
        <is>
          <t>Roaa</t>
        </is>
      </c>
      <c r="F22" s="30">
        <f>COUNTIF('Test Cases'!$G$2:$G$21,"Roaa")</f>
        <v/>
      </c>
      <c r="G22" s="30">
        <f>COUNTIFS('Test Cases'!$G$2:$G$21,"Roaa",'Test Cases'!$F$2:$F$21,"Passed")</f>
        <v/>
      </c>
      <c r="H22" s="31">
        <f>IFERROR(G22/F22,0)</f>
        <v/>
      </c>
      <c r="J22" s="29" t="inlineStr">
        <is>
          <t>Hit</t>
        </is>
      </c>
      <c r="K22" s="30">
        <f>COUNTIF('FUNC COV'!$E$2:$E$13,"Hit")</f>
        <v/>
      </c>
      <c r="M22" s="29" t="inlineStr">
        <is>
          <t>Passed</t>
        </is>
      </c>
      <c r="N22" s="30">
        <f>COUNTIF('SVA'!$E$2:$E$3,"Passed")</f>
        <v/>
      </c>
    </row>
    <row r="23">
      <c r="B23" s="29" t="inlineStr">
        <is>
          <t>Failed</t>
        </is>
      </c>
      <c r="C23" s="30">
        <f>COUNTIF('Test Cases'!$F$2:$F$21,"Failed")</f>
        <v/>
      </c>
      <c r="E23" s="29" t="inlineStr">
        <is>
          <t>Dana</t>
        </is>
      </c>
      <c r="F23" s="30">
        <f>COUNTIF('Test Cases'!$G$2:$G$21,"Dana")</f>
        <v/>
      </c>
      <c r="G23" s="30">
        <f>COUNTIFS('Test Cases'!$G$2:$G$21,"Dana",'Test Cases'!$F$2:$F$21,"Passed")</f>
        <v/>
      </c>
      <c r="H23" s="31">
        <f>IFERROR(G23/F23,0)</f>
        <v/>
      </c>
      <c r="J23" s="29" t="inlineStr">
        <is>
          <t>Miss</t>
        </is>
      </c>
      <c r="K23" s="30">
        <f>COUNTIF('FUNC COV'!$E$2:$E$13,"Miss")</f>
        <v/>
      </c>
      <c r="M23" s="29" t="inlineStr">
        <is>
          <t>Failed</t>
        </is>
      </c>
      <c r="N23" s="30">
        <f>COUNTIF('SVA'!$E$2:$E$3,"Failed")</f>
        <v/>
      </c>
    </row>
  </sheetData>
  <mergeCells count="39">
    <mergeCell ref="E10:G10"/>
    <mergeCell ref="Q10:S10"/>
    <mergeCell ref="E9:G9"/>
    <mergeCell ref="B13:G13"/>
    <mergeCell ref="T12:Y12"/>
    <mergeCell ref="H7:J7"/>
    <mergeCell ref="E6:G6"/>
    <mergeCell ref="Q6:S6"/>
    <mergeCell ref="B10:D10"/>
    <mergeCell ref="H16:M16"/>
    <mergeCell ref="N10:P10"/>
    <mergeCell ref="Q9:S9"/>
    <mergeCell ref="H13:M13"/>
    <mergeCell ref="B9:D9"/>
    <mergeCell ref="N13:S13"/>
    <mergeCell ref="N9:P9"/>
    <mergeCell ref="B4:Z4"/>
    <mergeCell ref="T7:V7"/>
    <mergeCell ref="H12:M12"/>
    <mergeCell ref="T13:Y13"/>
    <mergeCell ref="E7:G7"/>
    <mergeCell ref="B6:D6"/>
    <mergeCell ref="N6:P6"/>
    <mergeCell ref="K7:M7"/>
    <mergeCell ref="T6:V6"/>
    <mergeCell ref="B3:Z3"/>
    <mergeCell ref="K10:M10"/>
    <mergeCell ref="K6:M6"/>
    <mergeCell ref="Q7:S7"/>
    <mergeCell ref="B7:D7"/>
    <mergeCell ref="B16:G16"/>
    <mergeCell ref="N7:P7"/>
    <mergeCell ref="B2:Z2"/>
    <mergeCell ref="H10:J10"/>
    <mergeCell ref="K9:M9"/>
    <mergeCell ref="H9:J9"/>
    <mergeCell ref="B12:G12"/>
    <mergeCell ref="N12:S12"/>
    <mergeCell ref="H6:J6"/>
  </mergeCells>
  <conditionalFormatting sqref="B16">
    <cfRule type="dataBar" priority="1">
      <dataBar showValue="1">
        <cfvo type="num" val="0"/>
        <cfvo type="num" val="1"/>
        <color rgb="002F80ED"/>
      </dataBar>
    </cfRule>
  </conditionalFormatting>
  <conditionalFormatting sqref="H16">
    <cfRule type="dataBar" priority="2">
      <dataBar showValue="1">
        <cfvo type="num" val="0"/>
        <cfvo type="num" val="1"/>
        <color rgb="0027AE60"/>
      </dataBar>
    </cfRule>
  </conditionalFormatting>
  <conditionalFormatting sqref="H20:H23">
    <cfRule type="dataBar" priority="3">
      <dataBar showValue="1">
        <cfvo type="num" val="0"/>
        <cfvo type="num" val="1"/>
        <color rgb="0027AE60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TestCaseStatus</t>
        </is>
      </c>
      <c r="B1" t="inlineStr">
        <is>
          <t>Owner</t>
        </is>
      </c>
      <c r="C1" t="inlineStr">
        <is>
          <t>SVAStatus</t>
        </is>
      </c>
      <c r="D1" t="inlineStr">
        <is>
          <t>CPStatus</t>
        </is>
      </c>
      <c r="E1" t="inlineStr">
        <is>
          <t>CPType</t>
        </is>
      </c>
    </row>
    <row r="2">
      <c r="A2" t="inlineStr">
        <is>
          <t>NotStarted</t>
        </is>
      </c>
      <c r="B2" t="inlineStr">
        <is>
          <t>Kareem</t>
        </is>
      </c>
      <c r="C2" t="inlineStr">
        <is>
          <t>NotStarted</t>
        </is>
      </c>
      <c r="D2" t="inlineStr">
        <is>
          <t>NotStarted</t>
        </is>
      </c>
      <c r="E2" t="inlineStr">
        <is>
          <t>bin</t>
        </is>
      </c>
    </row>
    <row r="3">
      <c r="A3" t="inlineStr">
        <is>
          <t>Pending</t>
        </is>
      </c>
      <c r="B3" t="inlineStr">
        <is>
          <t>Zyad</t>
        </is>
      </c>
      <c r="C3" t="inlineStr">
        <is>
          <t>Pending</t>
        </is>
      </c>
      <c r="D3" t="inlineStr">
        <is>
          <t>Pending</t>
        </is>
      </c>
      <c r="E3" t="inlineStr">
        <is>
          <t>cross</t>
        </is>
      </c>
    </row>
    <row r="4">
      <c r="A4" t="inlineStr">
        <is>
          <t>Passed</t>
        </is>
      </c>
      <c r="B4" t="inlineStr">
        <is>
          <t>Roaa</t>
        </is>
      </c>
      <c r="C4" t="inlineStr">
        <is>
          <t>Passed</t>
        </is>
      </c>
      <c r="D4" t="inlineStr">
        <is>
          <t>Hit</t>
        </is>
      </c>
      <c r="E4" t="inlineStr">
        <is>
          <t>transition</t>
        </is>
      </c>
    </row>
    <row r="5">
      <c r="A5" t="inlineStr">
        <is>
          <t>Failed</t>
        </is>
      </c>
      <c r="B5" t="inlineStr">
        <is>
          <t>Dana</t>
        </is>
      </c>
      <c r="C5" t="inlineStr">
        <is>
          <t>Failed</t>
        </is>
      </c>
      <c r="D5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2" customWidth="1" min="4" max="4"/>
    <col width="46" customWidth="1" min="5" max="5"/>
    <col width="14" customWidth="1" min="6" max="6"/>
    <col width="14" customWidth="1" min="7" max="7"/>
    <col width="14" customWidth="1" min="8" max="8"/>
    <col hidden="1" width="1" customWidth="1" min="9" max="9"/>
    <col hidden="1" width="1" customWidth="1" min="10" max="10"/>
  </cols>
  <sheetData>
    <row r="1">
      <c r="A1" s="28" t="inlineStr">
        <is>
          <t>Test Case ID</t>
        </is>
      </c>
      <c r="B1" s="28" t="inlineStr">
        <is>
          <t>Feature</t>
        </is>
      </c>
      <c r="C1" s="28" t="inlineStr">
        <is>
          <t>Parameter</t>
        </is>
      </c>
      <c r="D1" s="28" t="inlineStr">
        <is>
          <t>Value</t>
        </is>
      </c>
      <c r="E1" s="28" t="inlineStr">
        <is>
          <t>Expected Behaviour</t>
        </is>
      </c>
      <c r="F1" s="28" t="inlineStr">
        <is>
          <t>Status</t>
        </is>
      </c>
      <c r="G1" s="28" t="inlineStr">
        <is>
          <t>Owner</t>
        </is>
      </c>
      <c r="H1" s="28" t="inlineStr">
        <is>
          <t>Last Modified</t>
        </is>
      </c>
      <c r="I1" s="28" t="inlineStr">
        <is>
          <t>Feature Key</t>
        </is>
      </c>
      <c r="J1" s="28" t="inlineStr">
        <is>
          <t>Module ID</t>
        </is>
      </c>
    </row>
    <row r="2">
      <c r="A2" s="30" t="inlineStr">
        <is>
          <t>TC001.1_AssertReset</t>
        </is>
      </c>
      <c r="B2" s="29" t="inlineStr">
        <is>
          <t>F001</t>
        </is>
      </c>
      <c r="C2" s="29" t="inlineStr">
        <is>
          <t>rst_n</t>
        </is>
      </c>
      <c r="D2" s="29" t="inlineStr">
        <is>
          <t>AssertReset</t>
        </is>
      </c>
      <c r="E2" s="29" t="inlineStr">
        <is>
          <t>DUT shall set at '0 'busy' 'done' 'output_valid' 'output_rdata'</t>
        </is>
      </c>
      <c r="F2" s="30" t="inlineStr">
        <is>
          <t>NotStarted</t>
        </is>
      </c>
      <c r="G2" s="30" t="inlineStr"/>
      <c r="H2" s="32" t="n"/>
      <c r="I2" s="29" t="inlineStr">
        <is>
          <t>|F001|</t>
        </is>
      </c>
      <c r="J2" s="29" t="inlineStr">
        <is>
          <t>M001</t>
        </is>
      </c>
    </row>
    <row r="3">
      <c r="A3" s="30" t="inlineStr">
        <is>
          <t>TC001.2_ReleaseReset</t>
        </is>
      </c>
      <c r="B3" s="29" t="inlineStr">
        <is>
          <t>F001</t>
        </is>
      </c>
      <c r="C3" s="29" t="inlineStr">
        <is>
          <t>rst_n</t>
        </is>
      </c>
      <c r="D3" s="29" t="inlineStr">
        <is>
          <t>ReleaseReset</t>
        </is>
      </c>
      <c r="E3" s="29" t="inlineStr">
        <is>
          <t>DUT shall set at '0 'busy' 'done' 'output_valid' 'output_rdata'</t>
        </is>
      </c>
      <c r="F3" s="30" t="inlineStr">
        <is>
          <t>NotStarted</t>
        </is>
      </c>
      <c r="G3" s="30" t="inlineStr"/>
      <c r="H3" s="32" t="n"/>
      <c r="I3" s="29" t="inlineStr">
        <is>
          <t>|F001|</t>
        </is>
      </c>
      <c r="J3" s="29" t="inlineStr">
        <is>
          <t>M001</t>
        </is>
      </c>
    </row>
    <row r="4">
      <c r="A4" s="30" t="inlineStr">
        <is>
          <t>TC002.1_1b0</t>
        </is>
      </c>
      <c r="B4" s="29" t="inlineStr">
        <is>
          <t>F002</t>
        </is>
      </c>
      <c r="C4" s="29" t="inlineStr">
        <is>
          <t>start</t>
        </is>
      </c>
      <c r="D4" s="29" t="inlineStr">
        <is>
          <t>1'b0</t>
        </is>
      </c>
      <c r="E4" s="29" t="inlineStr">
        <is>
          <t>DUT shall set 'busy' at 1'b1 'done' at 1'b0</t>
        </is>
      </c>
      <c r="F4" s="30" t="inlineStr">
        <is>
          <t>NotStarted</t>
        </is>
      </c>
      <c r="G4" s="30" t="inlineStr"/>
      <c r="H4" s="32" t="n"/>
      <c r="I4" s="29" t="inlineStr">
        <is>
          <t>|F002|</t>
        </is>
      </c>
      <c r="J4" s="29" t="inlineStr">
        <is>
          <t>M001</t>
        </is>
      </c>
    </row>
    <row r="5">
      <c r="A5" s="30" t="inlineStr">
        <is>
          <t>TC002.2_1b1</t>
        </is>
      </c>
      <c r="B5" s="29" t="inlineStr">
        <is>
          <t>F002</t>
        </is>
      </c>
      <c r="C5" s="29" t="inlineStr">
        <is>
          <t>start</t>
        </is>
      </c>
      <c r="D5" s="29" t="inlineStr">
        <is>
          <t>1'b1</t>
        </is>
      </c>
      <c r="E5" s="29" t="inlineStr">
        <is>
          <t>DUT shall set 'busy' at 1'b1 'done' at 1'b0</t>
        </is>
      </c>
      <c r="F5" s="30" t="inlineStr">
        <is>
          <t>NotStarted</t>
        </is>
      </c>
      <c r="G5" s="30" t="inlineStr"/>
      <c r="H5" s="32" t="n"/>
      <c r="I5" s="29" t="inlineStr">
        <is>
          <t>|F002|</t>
        </is>
      </c>
      <c r="J5" s="29" t="inlineStr">
        <is>
          <t>M001</t>
        </is>
      </c>
    </row>
    <row r="6">
      <c r="A6" s="30" t="inlineStr">
        <is>
          <t>TC003.1_Black</t>
        </is>
      </c>
      <c r="B6" s="29" t="inlineStr">
        <is>
          <t>F003; F004; F007</t>
        </is>
      </c>
      <c r="C6" s="29" t="inlineStr">
        <is>
          <t>InputImg</t>
        </is>
      </c>
      <c r="D6" s="29" t="inlineStr">
        <is>
          <t>Black</t>
        </is>
      </c>
      <c r="E6" s="29" t="inlineStr">
        <is>
          <t>DUT shall do nothing holding the current statue | DUT shall hold the last pixel_in | DUT shall generate one valid output each cycle after geting into pipeline-full</t>
        </is>
      </c>
      <c r="F6" s="30" t="inlineStr">
        <is>
          <t>NotStarted</t>
        </is>
      </c>
      <c r="G6" s="30" t="inlineStr"/>
      <c r="H6" s="32" t="n"/>
      <c r="I6" s="29" t="inlineStr">
        <is>
          <t>|F003|F004|F007|</t>
        </is>
      </c>
      <c r="J6" s="29" t="inlineStr">
        <is>
          <t>M001</t>
        </is>
      </c>
    </row>
    <row r="7">
      <c r="A7" s="30" t="inlineStr">
        <is>
          <t>TC003.2_White</t>
        </is>
      </c>
      <c r="B7" s="29" t="inlineStr">
        <is>
          <t>F003; F004; F007</t>
        </is>
      </c>
      <c r="C7" s="29" t="inlineStr">
        <is>
          <t>InputImg</t>
        </is>
      </c>
      <c r="D7" s="29" t="inlineStr">
        <is>
          <t>White</t>
        </is>
      </c>
      <c r="E7" s="29" t="inlineStr">
        <is>
          <t>DUT shall do nothing holding the current statue | DUT shall hold the last pixel_in | DUT shall generate one valid output each cycle after geting into pipeline-full</t>
        </is>
      </c>
      <c r="F7" s="30" t="inlineStr">
        <is>
          <t>NotStarted</t>
        </is>
      </c>
      <c r="G7" s="30" t="inlineStr"/>
      <c r="H7" s="32" t="n"/>
      <c r="I7" s="29" t="inlineStr">
        <is>
          <t>|F003|F004|F007|</t>
        </is>
      </c>
      <c r="J7" s="29" t="inlineStr">
        <is>
          <t>M001</t>
        </is>
      </c>
    </row>
    <row r="8">
      <c r="A8" s="30" t="inlineStr">
        <is>
          <t>TC003.3_VirticalEdge</t>
        </is>
      </c>
      <c r="B8" s="29" t="inlineStr">
        <is>
          <t>F003; F004; F007</t>
        </is>
      </c>
      <c r="C8" s="29" t="inlineStr">
        <is>
          <t>InputImg</t>
        </is>
      </c>
      <c r="D8" s="29" t="inlineStr">
        <is>
          <t>VirticalEdge</t>
        </is>
      </c>
      <c r="E8" s="29" t="inlineStr">
        <is>
          <t>DUT shall do nothing holding the current statue | DUT shall hold the last pixel_in | DUT shall generate one valid output each cycle after geting into pipeline-full</t>
        </is>
      </c>
      <c r="F8" s="30" t="inlineStr">
        <is>
          <t>NotStarted</t>
        </is>
      </c>
      <c r="G8" s="30" t="inlineStr"/>
      <c r="H8" s="32" t="n"/>
      <c r="I8" s="29" t="inlineStr">
        <is>
          <t>|F003|F004|F007|</t>
        </is>
      </c>
      <c r="J8" s="29" t="inlineStr">
        <is>
          <t>M001</t>
        </is>
      </c>
    </row>
    <row r="9">
      <c r="A9" s="30" t="inlineStr">
        <is>
          <t>TC003.4_HorizontalEdge</t>
        </is>
      </c>
      <c r="B9" s="29" t="inlineStr">
        <is>
          <t>F003; F004; F007</t>
        </is>
      </c>
      <c r="C9" s="29" t="inlineStr">
        <is>
          <t>InputImg</t>
        </is>
      </c>
      <c r="D9" s="29" t="inlineStr">
        <is>
          <t>HorizontalEdge</t>
        </is>
      </c>
      <c r="E9" s="29" t="inlineStr">
        <is>
          <t>DUT shall do nothing holding the current statue | DUT shall hold the last pixel_in | DUT shall generate one valid output each cycle after geting into pipeline-full</t>
        </is>
      </c>
      <c r="F9" s="30" t="inlineStr">
        <is>
          <t>NotStarted</t>
        </is>
      </c>
      <c r="G9" s="30" t="inlineStr"/>
      <c r="H9" s="32" t="n"/>
      <c r="I9" s="29" t="inlineStr">
        <is>
          <t>|F003|F004|F007|</t>
        </is>
      </c>
      <c r="J9" s="29" t="inlineStr">
        <is>
          <t>M001</t>
        </is>
      </c>
    </row>
    <row r="10">
      <c r="A10" s="30" t="inlineStr">
        <is>
          <t>TC003.5_CenteredImpulse</t>
        </is>
      </c>
      <c r="B10" s="29" t="inlineStr">
        <is>
          <t>F003; F004; F007</t>
        </is>
      </c>
      <c r="C10" s="29" t="inlineStr">
        <is>
          <t>InputImg</t>
        </is>
      </c>
      <c r="D10" s="29" t="inlineStr">
        <is>
          <t>CenteredImpulse</t>
        </is>
      </c>
      <c r="E10" s="29" t="inlineStr">
        <is>
          <t>DUT shall do nothing holding the current statue | DUT shall hold the last pixel_in | DUT shall generate one valid output each cycle after geting into pipeline-full</t>
        </is>
      </c>
      <c r="F10" s="30" t="inlineStr">
        <is>
          <t>NotStarted</t>
        </is>
      </c>
      <c r="G10" s="30" t="inlineStr"/>
      <c r="H10" s="32" t="n"/>
      <c r="I10" s="29" t="inlineStr">
        <is>
          <t>|F003|F004|F007|</t>
        </is>
      </c>
      <c r="J10" s="29" t="inlineStr">
        <is>
          <t>M001</t>
        </is>
      </c>
    </row>
    <row r="11">
      <c r="A11" s="30" t="inlineStr">
        <is>
          <t>TC003.6_CenteredSquare</t>
        </is>
      </c>
      <c r="B11" s="29" t="inlineStr">
        <is>
          <t>F003; F004; F007</t>
        </is>
      </c>
      <c r="C11" s="29" t="inlineStr">
        <is>
          <t>InputImg</t>
        </is>
      </c>
      <c r="D11" s="29" t="inlineStr">
        <is>
          <t>CenteredSquare</t>
        </is>
      </c>
      <c r="E11" s="29" t="inlineStr">
        <is>
          <t>DUT shall do nothing holding the current statue | DUT shall hold the last pixel_in | DUT shall generate one valid output each cycle after geting into pipeline-full</t>
        </is>
      </c>
      <c r="F11" s="30" t="inlineStr">
        <is>
          <t>NotStarted</t>
        </is>
      </c>
      <c r="G11" s="30" t="inlineStr"/>
      <c r="H11" s="32" t="n"/>
      <c r="I11" s="29" t="inlineStr">
        <is>
          <t>|F003|F004|F007|</t>
        </is>
      </c>
      <c r="J11" s="29" t="inlineStr">
        <is>
          <t>M001</t>
        </is>
      </c>
    </row>
    <row r="12">
      <c r="A12" s="30" t="inlineStr">
        <is>
          <t>TC003.7_RANDOM</t>
        </is>
      </c>
      <c r="B12" s="29" t="inlineStr">
        <is>
          <t>F003; F004; F007</t>
        </is>
      </c>
      <c r="C12" s="29" t="inlineStr">
        <is>
          <t>InputImg</t>
        </is>
      </c>
      <c r="D12" s="29" t="inlineStr">
        <is>
          <t>RANDOM</t>
        </is>
      </c>
      <c r="E12" s="29" t="inlineStr">
        <is>
          <t>DUT shall do nothing holding the current statue | DUT shall hold the last pixel_in | DUT shall generate one valid output each cycle after geting into pipeline-full</t>
        </is>
      </c>
      <c r="F12" s="30" t="inlineStr">
        <is>
          <t>NotStarted</t>
        </is>
      </c>
      <c r="G12" s="30" t="inlineStr"/>
      <c r="H12" s="32" t="n"/>
      <c r="I12" s="29" t="inlineStr">
        <is>
          <t>|F003|F004|F007|</t>
        </is>
      </c>
      <c r="J12" s="29" t="inlineStr">
        <is>
          <t>M001</t>
        </is>
      </c>
    </row>
    <row r="13">
      <c r="A13" s="30" t="inlineStr">
        <is>
          <t>TC004.1_3</t>
        </is>
      </c>
      <c r="B13" s="29" t="inlineStr">
        <is>
          <t>F006</t>
        </is>
      </c>
      <c r="C13" s="29" t="inlineStr">
        <is>
          <t>N</t>
        </is>
      </c>
      <c r="D13" s="29" t="inlineStr">
        <is>
          <t>3</t>
        </is>
      </c>
      <c r="E13" s="29" t="inlineStr">
        <is>
          <t>DUT shall holds for different kernel sizes</t>
        </is>
      </c>
      <c r="F13" s="30" t="inlineStr">
        <is>
          <t>NotStarted</t>
        </is>
      </c>
      <c r="G13" s="30" t="inlineStr"/>
      <c r="H13" s="32" t="n"/>
      <c r="I13" s="29" t="inlineStr">
        <is>
          <t>|F006|</t>
        </is>
      </c>
      <c r="J13" s="29" t="inlineStr">
        <is>
          <t>M001</t>
        </is>
      </c>
    </row>
    <row r="14">
      <c r="A14" s="30" t="inlineStr">
        <is>
          <t>TC004.2_5</t>
        </is>
      </c>
      <c r="B14" s="29" t="inlineStr">
        <is>
          <t>F006</t>
        </is>
      </c>
      <c r="C14" s="29" t="inlineStr">
        <is>
          <t>N</t>
        </is>
      </c>
      <c r="D14" s="29" t="inlineStr">
        <is>
          <t>5</t>
        </is>
      </c>
      <c r="E14" s="29" t="inlineStr">
        <is>
          <t>DUT shall holds for different kernel sizes</t>
        </is>
      </c>
      <c r="F14" s="30" t="inlineStr">
        <is>
          <t>NotStarted</t>
        </is>
      </c>
      <c r="G14" s="30" t="inlineStr"/>
      <c r="H14" s="32" t="n"/>
      <c r="I14" s="29" t="inlineStr">
        <is>
          <t>|F006|</t>
        </is>
      </c>
      <c r="J14" s="29" t="inlineStr">
        <is>
          <t>M001</t>
        </is>
      </c>
    </row>
    <row r="15">
      <c r="A15" s="30" t="inlineStr">
        <is>
          <t>TC004.3_7</t>
        </is>
      </c>
      <c r="B15" s="29" t="inlineStr">
        <is>
          <t>F006</t>
        </is>
      </c>
      <c r="C15" s="29" t="inlineStr">
        <is>
          <t>N</t>
        </is>
      </c>
      <c r="D15" s="29" t="inlineStr">
        <is>
          <t>7</t>
        </is>
      </c>
      <c r="E15" s="29" t="inlineStr">
        <is>
          <t>DUT shall holds for different kernel sizes</t>
        </is>
      </c>
      <c r="F15" s="30" t="inlineStr">
        <is>
          <t>NotStarted</t>
        </is>
      </c>
      <c r="G15" s="30" t="inlineStr"/>
      <c r="H15" s="32" t="n"/>
      <c r="I15" s="29" t="inlineStr">
        <is>
          <t>|F006|</t>
        </is>
      </c>
      <c r="J15" s="29" t="inlineStr">
        <is>
          <t>M001</t>
        </is>
      </c>
    </row>
    <row r="16">
      <c r="A16" s="30" t="inlineStr">
        <is>
          <t>TC005.1_0</t>
        </is>
      </c>
      <c r="B16" s="29" t="inlineStr">
        <is>
          <t>F008</t>
        </is>
      </c>
      <c r="C16" s="29" t="inlineStr">
        <is>
          <t>output_raddr</t>
        </is>
      </c>
      <c r="D16" s="29" t="inlineStr">
        <is>
          <t>0</t>
        </is>
      </c>
      <c r="E16" s="29" t="inlineStr">
        <is>
          <t>DUT shall give access to the source to fetch processed pixels</t>
        </is>
      </c>
      <c r="F16" s="30" t="inlineStr">
        <is>
          <t>NotStarted</t>
        </is>
      </c>
      <c r="G16" s="30" t="inlineStr"/>
      <c r="H16" s="32" t="n"/>
      <c r="I16" s="29" t="inlineStr">
        <is>
          <t>|F008|</t>
        </is>
      </c>
      <c r="J16" s="29" t="inlineStr">
        <is>
          <t>M001</t>
        </is>
      </c>
    </row>
    <row r="17">
      <c r="A17" s="30" t="inlineStr">
        <is>
          <t>TC005.2_OUTDEPTH1</t>
        </is>
      </c>
      <c r="B17" s="29" t="inlineStr">
        <is>
          <t>F008</t>
        </is>
      </c>
      <c r="C17" s="29" t="inlineStr">
        <is>
          <t>output_raddr</t>
        </is>
      </c>
      <c r="D17" s="29" t="inlineStr">
        <is>
          <t>OUT_DEPTH-1</t>
        </is>
      </c>
      <c r="E17" s="29" t="inlineStr">
        <is>
          <t>DUT shall give access to the source to fetch processed pixels</t>
        </is>
      </c>
      <c r="F17" s="30" t="inlineStr">
        <is>
          <t>NotStarted</t>
        </is>
      </c>
      <c r="G17" s="30" t="inlineStr"/>
      <c r="H17" s="32" t="n"/>
      <c r="I17" s="29" t="inlineStr">
        <is>
          <t>|F008|</t>
        </is>
      </c>
      <c r="J17" s="29" t="inlineStr">
        <is>
          <t>M001</t>
        </is>
      </c>
    </row>
    <row r="18">
      <c r="A18" s="30" t="inlineStr">
        <is>
          <t>TC006.1_AllZeros</t>
        </is>
      </c>
      <c r="B18" s="29" t="inlineStr">
        <is>
          <t>F005</t>
        </is>
      </c>
      <c r="C18" s="29" t="inlineStr">
        <is>
          <t>kernel</t>
        </is>
      </c>
      <c r="D18" s="29" t="inlineStr">
        <is>
          <t>AllZeros</t>
        </is>
      </c>
      <c r="E18" s="29" t="inlineStr">
        <is>
          <t>DUT shall generates positive outputs with both positive &amp; negative kernels</t>
        </is>
      </c>
      <c r="F18" s="30" t="inlineStr">
        <is>
          <t>NotStarted</t>
        </is>
      </c>
      <c r="G18" s="30" t="inlineStr"/>
      <c r="H18" s="32" t="n"/>
      <c r="I18" s="29" t="inlineStr">
        <is>
          <t>|F005|</t>
        </is>
      </c>
      <c r="J18" s="29" t="inlineStr">
        <is>
          <t>M001</t>
        </is>
      </c>
    </row>
    <row r="19">
      <c r="A19" s="30" t="inlineStr">
        <is>
          <t>TC006.2_AllOnes</t>
        </is>
      </c>
      <c r="B19" s="29" t="inlineStr">
        <is>
          <t>F005</t>
        </is>
      </c>
      <c r="C19" s="29" t="inlineStr">
        <is>
          <t>kernel</t>
        </is>
      </c>
      <c r="D19" s="29" t="inlineStr">
        <is>
          <t>AllOnes</t>
        </is>
      </c>
      <c r="E19" s="29" t="inlineStr">
        <is>
          <t>DUT shall generates positive outputs with both positive &amp; negative kernels</t>
        </is>
      </c>
      <c r="F19" s="30" t="inlineStr">
        <is>
          <t>NotStarted</t>
        </is>
      </c>
      <c r="G19" s="30" t="inlineStr"/>
      <c r="H19" s="32" t="n"/>
      <c r="I19" s="29" t="inlineStr">
        <is>
          <t>|F005|</t>
        </is>
      </c>
      <c r="J19" s="29" t="inlineStr">
        <is>
          <t>M001</t>
        </is>
      </c>
    </row>
    <row r="20">
      <c r="A20" s="30" t="inlineStr">
        <is>
          <t>TC006.3_AllNegative</t>
        </is>
      </c>
      <c r="B20" s="29" t="inlineStr">
        <is>
          <t>F005</t>
        </is>
      </c>
      <c r="C20" s="29" t="inlineStr">
        <is>
          <t>kernel</t>
        </is>
      </c>
      <c r="D20" s="29" t="inlineStr">
        <is>
          <t>AllNegative</t>
        </is>
      </c>
      <c r="E20" s="29" t="inlineStr">
        <is>
          <t>DUT shall generates positive outputs with both positive &amp; negative kernels</t>
        </is>
      </c>
      <c r="F20" s="30" t="inlineStr">
        <is>
          <t>NotStarted</t>
        </is>
      </c>
      <c r="G20" s="30" t="inlineStr"/>
      <c r="H20" s="32" t="n"/>
      <c r="I20" s="29" t="inlineStr">
        <is>
          <t>|F005|</t>
        </is>
      </c>
      <c r="J20" s="29" t="inlineStr">
        <is>
          <t>M001</t>
        </is>
      </c>
    </row>
    <row r="21">
      <c r="A21" s="30" t="inlineStr">
        <is>
          <t>TC006.4_RANDOM</t>
        </is>
      </c>
      <c r="B21" s="29" t="inlineStr">
        <is>
          <t>F005</t>
        </is>
      </c>
      <c r="C21" s="29" t="inlineStr">
        <is>
          <t>kernel</t>
        </is>
      </c>
      <c r="D21" s="29" t="inlineStr">
        <is>
          <t>RANDOM</t>
        </is>
      </c>
      <c r="E21" s="29" t="inlineStr">
        <is>
          <t>DUT shall generates positive outputs with both positive &amp; negative kernels</t>
        </is>
      </c>
      <c r="F21" s="30" t="inlineStr">
        <is>
          <t>NotStarted</t>
        </is>
      </c>
      <c r="G21" s="30" t="inlineStr"/>
      <c r="H21" s="32" t="n"/>
      <c r="I21" s="29" t="inlineStr">
        <is>
          <t>|F005|</t>
        </is>
      </c>
      <c r="J21" s="29" t="inlineStr">
        <is>
          <t>M001</t>
        </is>
      </c>
    </row>
  </sheetData>
  <autoFilter ref="A1:J21"/>
  <conditionalFormatting sqref="F2:F21">
    <cfRule type="cellIs" priority="1" operator="equal" dxfId="0">
      <formula>"NotStarted"</formula>
    </cfRule>
    <cfRule type="cellIs" priority="2" operator="equal" dxfId="1">
      <formula>"Pending"</formula>
    </cfRule>
    <cfRule type="cellIs" priority="3" operator="equal" dxfId="2">
      <formula>"Passed"</formula>
    </cfRule>
    <cfRule type="cellIs" priority="4" operator="equal" dxfId="3">
      <formula>"Failed"</formula>
    </cfRule>
  </conditionalFormatting>
  <conditionalFormatting sqref="G2:G21">
    <cfRule type="cellIs" priority="5" operator="equal" dxfId="4">
      <formula>"Kareem"</formula>
    </cfRule>
    <cfRule type="cellIs" priority="6" operator="equal" dxfId="5">
      <formula>"Zyad"</formula>
    </cfRule>
    <cfRule type="cellIs" priority="7" operator="equal" dxfId="6">
      <formula>"Roaa"</formula>
    </cfRule>
    <cfRule type="cellIs" priority="8" operator="equal" dxfId="7">
      <formula>"Dana"</formula>
    </cfRule>
  </conditionalFormatting>
  <dataValidations count="2">
    <dataValidation sqref="F2:F21" showDropDown="0" showInputMessage="0" showErrorMessage="0" allowBlank="1" errorTitle="Invalid Status" error="Please choose a status from the dropdown list." type="list">
      <formula1>'Lists'!$A$2:$A$5</formula1>
    </dataValidation>
    <dataValidation sqref="G2:G21" showDropDown="0" showInputMessage="0" showErrorMessage="0" allowBlank="1" errorTitle="Invalid Owner" error="Please choose an owner from the dropdown list." type="list">
      <formula1>'Lists'!$B$2:$B$5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40" customWidth="1" min="4" max="4"/>
    <col width="16" customWidth="1" min="5" max="5"/>
    <col width="16" customWidth="1" min="6" max="6"/>
    <col width="14" customWidth="1" min="7" max="7"/>
    <col width="16" customWidth="1" min="8" max="8"/>
    <col hidden="1" width="1" customWidth="1" min="9" max="9"/>
  </cols>
  <sheetData>
    <row r="1">
      <c r="A1" s="28" t="inlineStr">
        <is>
          <t>Feature ID</t>
        </is>
      </c>
      <c r="B1" s="28" t="inlineStr">
        <is>
          <t>Feature</t>
        </is>
      </c>
      <c r="C1" s="28" t="inlineStr">
        <is>
          <t>Description</t>
        </is>
      </c>
      <c r="D1" s="28" t="inlineStr">
        <is>
          <t>Verification Goal</t>
        </is>
      </c>
      <c r="E1" s="28" t="inlineStr">
        <is>
          <t>Related Testcases</t>
        </is>
      </c>
      <c r="F1" s="28" t="inlineStr">
        <is>
          <t>Passed Testcases</t>
        </is>
      </c>
      <c r="G1" s="28" t="inlineStr">
        <is>
          <t>Completion %</t>
        </is>
      </c>
      <c r="H1" s="28" t="inlineStr">
        <is>
          <t>Status</t>
        </is>
      </c>
      <c r="I1" s="28" t="inlineStr">
        <is>
          <t>Module ID</t>
        </is>
      </c>
    </row>
    <row r="2">
      <c r="A2" s="30" t="inlineStr">
        <is>
          <t>F001</t>
        </is>
      </c>
      <c r="B2" s="29" t="inlineStr">
        <is>
          <t>Reset</t>
        </is>
      </c>
      <c r="C2" s="29" t="inlineStr">
        <is>
          <t>Verify accelerator enters reset state</t>
        </is>
      </c>
      <c r="D2" s="29" t="inlineStr">
        <is>
          <t>DUT shall set at '0 'busy' 'done' 'output_valid' 'output_rdata'</t>
        </is>
      </c>
      <c r="E2" s="30">
        <f>SUMPRODUCT(--ISNUMBER(SEARCH("|"&amp;A2&amp;"|",'Test Cases'!$I$2:$I$21)))</f>
        <v/>
      </c>
      <c r="F2" s="30">
        <f>SUMPRODUCT(--ISNUMBER(SEARCH("|"&amp;A2&amp;"|",'Test Cases'!$I$2:$I$21))*('Test Cases'!$F$2:$F$21="Passed"))</f>
        <v/>
      </c>
      <c r="G2" s="31">
        <f>IFERROR(F2/E2,0)</f>
        <v/>
      </c>
      <c r="H2" s="30">
        <f>IF(E2=0,"NOT STARTED",IF(F2=E2,"COMPLETE",IF(SUMPRODUCT(--ISNUMBER(SEARCH("|"&amp;A2&amp;"|",'Test Cases'!$I$2:$I$21))*('Test Cases'!$F$2:$F$21="NotStarted"))=E2,"NOT STARTED","IN PROGRESS")))</f>
        <v/>
      </c>
      <c r="I2" s="29" t="inlineStr">
        <is>
          <t>M001</t>
        </is>
      </c>
    </row>
    <row r="3">
      <c r="A3" s="30" t="inlineStr">
        <is>
          <t>F002</t>
        </is>
      </c>
      <c r="B3" s="29" t="inlineStr">
        <is>
          <t>Start Cmd</t>
        </is>
      </c>
      <c r="C3" s="29" t="inlineStr">
        <is>
          <t>Verify fsm transition to PROCESSING</t>
        </is>
      </c>
      <c r="D3" s="29" t="inlineStr">
        <is>
          <t>DUT shall set 'busy' at 1'b1 'done' at 1'b0</t>
        </is>
      </c>
      <c r="E3" s="30">
        <f>SUMPRODUCT(--ISNUMBER(SEARCH("|"&amp;A3&amp;"|",'Test Cases'!$I$2:$I$21)))</f>
        <v/>
      </c>
      <c r="F3" s="30">
        <f>SUMPRODUCT(--ISNUMBER(SEARCH("|"&amp;A3&amp;"|",'Test Cases'!$I$2:$I$21))*('Test Cases'!$F$2:$F$21="Passed"))</f>
        <v/>
      </c>
      <c r="G3" s="31">
        <f>IFERROR(F3/E3,0)</f>
        <v/>
      </c>
      <c r="H3" s="30">
        <f>IF(E3=0,"NOT STARTED",IF(F3=E3,"COMPLETE",IF(SUMPRODUCT(--ISNUMBER(SEARCH("|"&amp;A3&amp;"|",'Test Cases'!$I$2:$I$21))*('Test Cases'!$F$2:$F$21="NotStarted"))=E3,"NOT STARTED","IN PROGRESS")))</f>
        <v/>
      </c>
      <c r="I3" s="29" t="inlineStr">
        <is>
          <t>M001</t>
        </is>
      </c>
    </row>
    <row r="4">
      <c r="A4" s="30" t="inlineStr">
        <is>
          <t>F003</t>
        </is>
      </c>
      <c r="B4" s="29" t="inlineStr">
        <is>
          <t>Pixel Latency</t>
        </is>
      </c>
      <c r="C4" s="29" t="inlineStr">
        <is>
          <t>Verify accelerator holds</t>
        </is>
      </c>
      <c r="D4" s="29" t="inlineStr">
        <is>
          <t>DUT shall do nothing holding the current statue</t>
        </is>
      </c>
      <c r="E4" s="30">
        <f>SUMPRODUCT(--ISNUMBER(SEARCH("|"&amp;A4&amp;"|",'Test Cases'!$I$2:$I$21)))</f>
        <v/>
      </c>
      <c r="F4" s="30">
        <f>SUMPRODUCT(--ISNUMBER(SEARCH("|"&amp;A4&amp;"|",'Test Cases'!$I$2:$I$21))*('Test Cases'!$F$2:$F$21="Passed"))</f>
        <v/>
      </c>
      <c r="G4" s="31">
        <f>IFERROR(F4/E4,0)</f>
        <v/>
      </c>
      <c r="H4" s="30">
        <f>IF(E4=0,"NOT STARTED",IF(F4=E4,"COMPLETE",IF(SUMPRODUCT(--ISNUMBER(SEARCH("|"&amp;A4&amp;"|",'Test Cases'!$I$2:$I$21))*('Test Cases'!$F$2:$F$21="NotStarted"))=E4,"NOT STARTED","IN PROGRESS")))</f>
        <v/>
      </c>
      <c r="I4" s="29" t="inlineStr">
        <is>
          <t>M001</t>
        </is>
      </c>
    </row>
    <row r="5">
      <c r="A5" s="30" t="inlineStr">
        <is>
          <t>F004</t>
        </is>
      </c>
      <c r="B5" s="29" t="inlineStr">
        <is>
          <t>Pixel Dropp</t>
        </is>
      </c>
      <c r="C5" s="29" t="inlineStr">
        <is>
          <t>Verify accelerator handles dropped pixels</t>
        </is>
      </c>
      <c r="D5" s="29" t="inlineStr">
        <is>
          <t>DUT shall hold the last pixel_in</t>
        </is>
      </c>
      <c r="E5" s="30">
        <f>SUMPRODUCT(--ISNUMBER(SEARCH("|"&amp;A5&amp;"|",'Test Cases'!$I$2:$I$21)))</f>
        <v/>
      </c>
      <c r="F5" s="30">
        <f>SUMPRODUCT(--ISNUMBER(SEARCH("|"&amp;A5&amp;"|",'Test Cases'!$I$2:$I$21))*('Test Cases'!$F$2:$F$21="Passed"))</f>
        <v/>
      </c>
      <c r="G5" s="31">
        <f>IFERROR(F5/E5,0)</f>
        <v/>
      </c>
      <c r="H5" s="30">
        <f>IF(E5=0,"NOT STARTED",IF(F5=E5,"COMPLETE",IF(SUMPRODUCT(--ISNUMBER(SEARCH("|"&amp;A5&amp;"|",'Test Cases'!$I$2:$I$21))*('Test Cases'!$F$2:$F$21="NotStarted"))=E5,"NOT STARTED","IN PROGRESS")))</f>
        <v/>
      </c>
      <c r="I5" s="29" t="inlineStr">
        <is>
          <t>M001</t>
        </is>
      </c>
    </row>
    <row r="6">
      <c r="A6" s="30" t="inlineStr">
        <is>
          <t>F005</t>
        </is>
      </c>
      <c r="B6" s="29" t="inlineStr">
        <is>
          <t>RelU</t>
        </is>
      </c>
      <c r="C6" s="29" t="inlineStr">
        <is>
          <t>Verify accelerator generates positive outputs only</t>
        </is>
      </c>
      <c r="D6" s="29" t="inlineStr">
        <is>
          <t>DUT shall generates positive outputs with both positive &amp; negative kernels</t>
        </is>
      </c>
      <c r="E6" s="30">
        <f>SUMPRODUCT(--ISNUMBER(SEARCH("|"&amp;A6&amp;"|",'Test Cases'!$I$2:$I$21)))</f>
        <v/>
      </c>
      <c r="F6" s="30">
        <f>SUMPRODUCT(--ISNUMBER(SEARCH("|"&amp;A6&amp;"|",'Test Cases'!$I$2:$I$21))*('Test Cases'!$F$2:$F$21="Passed"))</f>
        <v/>
      </c>
      <c r="G6" s="31">
        <f>IFERROR(F6/E6,0)</f>
        <v/>
      </c>
      <c r="H6" s="30">
        <f>IF(E6=0,"NOT STARTED",IF(F6=E6,"COMPLETE",IF(SUMPRODUCT(--ISNUMBER(SEARCH("|"&amp;A6&amp;"|",'Test Cases'!$I$2:$I$21))*('Test Cases'!$F$2:$F$21="NotStarted"))=E6,"NOT STARTED","IN PROGRESS")))</f>
        <v/>
      </c>
      <c r="I6" s="29" t="inlineStr">
        <is>
          <t>M001</t>
        </is>
      </c>
    </row>
    <row r="7">
      <c r="A7" s="30" t="inlineStr">
        <is>
          <t>F006</t>
        </is>
      </c>
      <c r="B7" s="29" t="inlineStr">
        <is>
          <t>Kernel Programability</t>
        </is>
      </c>
      <c r="C7" s="29" t="inlineStr">
        <is>
          <t>Verify accelerator handles different kernel sizes</t>
        </is>
      </c>
      <c r="D7" s="29" t="inlineStr">
        <is>
          <t>DUT shall holds for different kernel sizes</t>
        </is>
      </c>
      <c r="E7" s="30">
        <f>SUMPRODUCT(--ISNUMBER(SEARCH("|"&amp;A7&amp;"|",'Test Cases'!$I$2:$I$21)))</f>
        <v/>
      </c>
      <c r="F7" s="30">
        <f>SUMPRODUCT(--ISNUMBER(SEARCH("|"&amp;A7&amp;"|",'Test Cases'!$I$2:$I$21))*('Test Cases'!$F$2:$F$21="Passed"))</f>
        <v/>
      </c>
      <c r="G7" s="31">
        <f>IFERROR(F7/E7,0)</f>
        <v/>
      </c>
      <c r="H7" s="30">
        <f>IF(E7=0,"NOT STARTED",IF(F7=E7,"COMPLETE",IF(SUMPRODUCT(--ISNUMBER(SEARCH("|"&amp;A7&amp;"|",'Test Cases'!$I$2:$I$21))*('Test Cases'!$F$2:$F$21="NotStarted"))=E7,"NOT STARTED","IN PROGRESS")))</f>
        <v/>
      </c>
      <c r="I7" s="29" t="inlineStr">
        <is>
          <t>M001</t>
        </is>
      </c>
    </row>
    <row r="8">
      <c r="A8" s="30" t="inlineStr">
        <is>
          <t>F007</t>
        </is>
      </c>
      <c r="B8" s="29" t="inlineStr">
        <is>
          <t>Full-Parallel</t>
        </is>
      </c>
      <c r="C8" s="29" t="inlineStr">
        <is>
          <t>Verify accelerator generate an output pixel each cycle</t>
        </is>
      </c>
      <c r="D8" s="29" t="inlineStr">
        <is>
          <t>DUT shall generate one valid output each cycle after geting into pipeline-full</t>
        </is>
      </c>
      <c r="E8" s="30">
        <f>SUMPRODUCT(--ISNUMBER(SEARCH("|"&amp;A8&amp;"|",'Test Cases'!$I$2:$I$21)))</f>
        <v/>
      </c>
      <c r="F8" s="30">
        <f>SUMPRODUCT(--ISNUMBER(SEARCH("|"&amp;A8&amp;"|",'Test Cases'!$I$2:$I$21))*('Test Cases'!$F$2:$F$21="Passed"))</f>
        <v/>
      </c>
      <c r="G8" s="31">
        <f>IFERROR(F8/E8,0)</f>
        <v/>
      </c>
      <c r="H8" s="30">
        <f>IF(E8=0,"NOT STARTED",IF(F8=E8,"COMPLETE",IF(SUMPRODUCT(--ISNUMBER(SEARCH("|"&amp;A8&amp;"|",'Test Cases'!$I$2:$I$21))*('Test Cases'!$F$2:$F$21="NotStarted"))=E8,"NOT STARTED","IN PROGRESS")))</f>
        <v/>
      </c>
      <c r="I8" s="29" t="inlineStr">
        <is>
          <t>M001</t>
        </is>
      </c>
    </row>
    <row r="9">
      <c r="A9" s="30" t="inlineStr">
        <is>
          <t>F008</t>
        </is>
      </c>
      <c r="B9" s="29" t="inlineStr">
        <is>
          <t>MEM Read</t>
        </is>
      </c>
      <c r="C9" s="29" t="inlineStr">
        <is>
          <t>Verify accelerator support output memory access</t>
        </is>
      </c>
      <c r="D9" s="29" t="inlineStr">
        <is>
          <t>DUT shall give access to the source to fetch processed pixels</t>
        </is>
      </c>
      <c r="E9" s="30">
        <f>SUMPRODUCT(--ISNUMBER(SEARCH("|"&amp;A9&amp;"|",'Test Cases'!$I$2:$I$21)))</f>
        <v/>
      </c>
      <c r="F9" s="30">
        <f>SUMPRODUCT(--ISNUMBER(SEARCH("|"&amp;A9&amp;"|",'Test Cases'!$I$2:$I$21))*('Test Cases'!$F$2:$F$21="Passed"))</f>
        <v/>
      </c>
      <c r="G9" s="31">
        <f>IFERROR(F9/E9,0)</f>
        <v/>
      </c>
      <c r="H9" s="30">
        <f>IF(E9=0,"NOT STARTED",IF(F9=E9,"COMPLETE",IF(SUMPRODUCT(--ISNUMBER(SEARCH("|"&amp;A9&amp;"|",'Test Cases'!$I$2:$I$21))*('Test Cases'!$F$2:$F$21="NotStarted"))=E9,"NOT STARTED","IN PROGRESS")))</f>
        <v/>
      </c>
      <c r="I9" s="29" t="inlineStr">
        <is>
          <t>M001</t>
        </is>
      </c>
    </row>
  </sheetData>
  <autoFilter ref="A1:I9"/>
  <conditionalFormatting sqref="H2:H9">
    <cfRule type="cellIs" priority="1" operator="equal" dxfId="2">
      <formula>"COMPLETE"</formula>
    </cfRule>
    <cfRule type="cellIs" priority="2" operator="equal" dxfId="1">
      <formula>"IN PROGRESS"</formula>
    </cfRule>
    <cfRule type="cellIs" priority="3" operator="equal" dxfId="0">
      <formula>"NOT STARTED"</formula>
    </cfRule>
  </conditionalFormatting>
  <conditionalFormatting sqref="G2:G9">
    <cfRule type="expression" priority="4" dxfId="2">
      <formula>G2=1</formula>
    </cfRule>
    <cfRule type="expression" priority="5" dxfId="1">
      <formula>AND(G2&gt;0,G2&lt;1)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hidden="1" width="15" customWidth="1" min="4" max="4"/>
    <col hidden="1" width="18" customWidth="1" min="5" max="5"/>
  </cols>
  <sheetData>
    <row r="1">
      <c r="A1" s="28" t="inlineStr">
        <is>
          <t>Module ID</t>
        </is>
      </c>
      <c r="B1" s="28" t="inlineStr">
        <is>
          <t>Module Name</t>
        </is>
      </c>
      <c r="C1" s="28" t="inlineStr">
        <is>
          <t>Status</t>
        </is>
      </c>
      <c r="D1" s="28" t="inlineStr">
        <is>
          <t>Total Features</t>
        </is>
      </c>
      <c r="E1" s="28" t="inlineStr">
        <is>
          <t>Completed Features</t>
        </is>
      </c>
    </row>
    <row r="2">
      <c r="A2" s="30" t="inlineStr">
        <is>
          <t>M001</t>
        </is>
      </c>
      <c r="B2" s="29" t="inlineStr">
        <is>
          <t>Accelerator Top</t>
        </is>
      </c>
      <c r="C2" s="30">
        <f>IF(D2=0,"NOT STARTED",IF(E2=D2,"COMPLETE",IF(COUNTIFS('Features'!$I$2:$I$9,"M001",'Features'!$H$2:$H$9,"NOT STARTED")=D2,"NOT STARTED","IN PROGRESS")))</f>
        <v/>
      </c>
      <c r="D2" s="30">
        <f>COUNTIF('Features'!$I$2:$I$9,"M001")</f>
        <v/>
      </c>
      <c r="E2" s="30">
        <f>COUNTIFS('Features'!$I$2:$I$9,"M001",'Features'!$H$2:$H$9,"COMPLETE")</f>
        <v/>
      </c>
    </row>
  </sheetData>
  <autoFilter ref="A1:E2"/>
  <conditionalFormatting sqref="C2">
    <cfRule type="cellIs" priority="1" operator="equal" dxfId="2">
      <formula>"COMPLETE"</formula>
    </cfRule>
    <cfRule type="cellIs" priority="2" operator="equal" dxfId="1">
      <formula>"IN PROGRESS"</formula>
    </cfRule>
    <cfRule type="cellIs" priority="3" operator="equal" dxfId="0">
      <formula>"NOT STARTED"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4" customWidth="1" min="4" max="4"/>
    <col width="14" customWidth="1" min="5" max="5"/>
  </cols>
  <sheetData>
    <row r="1">
      <c r="A1" s="28" t="inlineStr">
        <is>
          <t>Cov Grp ID</t>
        </is>
      </c>
      <c r="B1" s="28" t="inlineStr">
        <is>
          <t>Covergroup Name</t>
        </is>
      </c>
      <c r="C1" s="28" t="inlineStr">
        <is>
          <t>Coverpoint Name</t>
        </is>
      </c>
      <c r="D1" s="28" t="inlineStr">
        <is>
          <t>Type</t>
        </is>
      </c>
      <c r="E1" s="28" t="inlineStr">
        <is>
          <t>Status</t>
        </is>
      </c>
    </row>
    <row r="2">
      <c r="A2" s="30" t="inlineStr">
        <is>
          <t>CG001</t>
        </is>
      </c>
      <c r="B2" s="29" t="inlineStr">
        <is>
          <t>cg_accelerator</t>
        </is>
      </c>
      <c r="C2" s="29" t="inlineStr">
        <is>
          <t>cp_reset.active</t>
        </is>
      </c>
      <c r="D2" s="30" t="inlineStr">
        <is>
          <t>bin</t>
        </is>
      </c>
      <c r="E2" s="30" t="inlineStr">
        <is>
          <t>NotStarted</t>
        </is>
      </c>
    </row>
    <row r="3">
      <c r="A3" s="30" t="inlineStr">
        <is>
          <t>CG001</t>
        </is>
      </c>
      <c r="B3" s="29" t="inlineStr">
        <is>
          <t>cg_accelerator</t>
        </is>
      </c>
      <c r="C3" s="29" t="inlineStr">
        <is>
          <t>cp_reset.inactive</t>
        </is>
      </c>
      <c r="D3" s="30" t="inlineStr">
        <is>
          <t>bin</t>
        </is>
      </c>
      <c r="E3" s="30" t="inlineStr">
        <is>
          <t>NotStarted</t>
        </is>
      </c>
    </row>
    <row r="4">
      <c r="A4" s="30" t="inlineStr">
        <is>
          <t>CG001</t>
        </is>
      </c>
      <c r="B4" s="29" t="inlineStr">
        <is>
          <t>cg_accelerator</t>
        </is>
      </c>
      <c r="C4" s="29" t="inlineStr">
        <is>
          <t>cp_drop.active</t>
        </is>
      </c>
      <c r="D4" s="30" t="inlineStr">
        <is>
          <t>bin</t>
        </is>
      </c>
      <c r="E4" s="30" t="inlineStr">
        <is>
          <t>NotStarted</t>
        </is>
      </c>
    </row>
    <row r="5">
      <c r="A5" s="30" t="inlineStr">
        <is>
          <t>CG001</t>
        </is>
      </c>
      <c r="B5" s="29" t="inlineStr">
        <is>
          <t>cg_accelerator</t>
        </is>
      </c>
      <c r="C5" s="29" t="inlineStr">
        <is>
          <t>cp_drop.inactive</t>
        </is>
      </c>
      <c r="D5" s="30" t="inlineStr">
        <is>
          <t>bin</t>
        </is>
      </c>
      <c r="E5" s="30" t="inlineStr">
        <is>
          <t>NotStarted</t>
        </is>
      </c>
    </row>
    <row r="6">
      <c r="A6" s="30" t="inlineStr">
        <is>
          <t>CG001</t>
        </is>
      </c>
      <c r="B6" s="29" t="inlineStr">
        <is>
          <t>cg_accelerator</t>
        </is>
      </c>
      <c r="C6" s="29" t="inlineStr">
        <is>
          <t>cp_start.active</t>
        </is>
      </c>
      <c r="D6" s="30" t="inlineStr">
        <is>
          <t>bin</t>
        </is>
      </c>
      <c r="E6" s="30" t="inlineStr">
        <is>
          <t>NotStarted</t>
        </is>
      </c>
    </row>
    <row r="7">
      <c r="A7" s="30" t="inlineStr">
        <is>
          <t>CG001</t>
        </is>
      </c>
      <c r="B7" s="29" t="inlineStr">
        <is>
          <t>cg_accelerator</t>
        </is>
      </c>
      <c r="C7" s="29" t="inlineStr">
        <is>
          <t>cp_start.inactive</t>
        </is>
      </c>
      <c r="D7" s="30" t="inlineStr">
        <is>
          <t>bin</t>
        </is>
      </c>
      <c r="E7" s="30" t="inlineStr">
        <is>
          <t>NotStarted</t>
        </is>
      </c>
    </row>
    <row r="8">
      <c r="A8" s="30" t="inlineStr">
        <is>
          <t>CG001</t>
        </is>
      </c>
      <c r="B8" s="29" t="inlineStr">
        <is>
          <t>cg_accelerator</t>
        </is>
      </c>
      <c r="C8" s="29" t="inlineStr">
        <is>
          <t>cp_last.active</t>
        </is>
      </c>
      <c r="D8" s="30" t="inlineStr">
        <is>
          <t>bin</t>
        </is>
      </c>
      <c r="E8" s="30" t="inlineStr">
        <is>
          <t>NotStarted</t>
        </is>
      </c>
    </row>
    <row r="9">
      <c r="A9" s="30" t="inlineStr">
        <is>
          <t>CG001</t>
        </is>
      </c>
      <c r="B9" s="29" t="inlineStr">
        <is>
          <t>cg_accelerator</t>
        </is>
      </c>
      <c r="C9" s="29" t="inlineStr">
        <is>
          <t>cp_last.inactive</t>
        </is>
      </c>
      <c r="D9" s="30" t="inlineStr">
        <is>
          <t>bin</t>
        </is>
      </c>
      <c r="E9" s="30" t="inlineStr">
        <is>
          <t>NotStarted</t>
        </is>
      </c>
    </row>
    <row r="10">
      <c r="A10" s="30" t="inlineStr">
        <is>
          <t>CG001</t>
        </is>
      </c>
      <c r="B10" s="29" t="inlineStr">
        <is>
          <t>cg_accelerator</t>
        </is>
      </c>
      <c r="C10" s="29" t="inlineStr">
        <is>
          <t>cp_pixel.allOnes</t>
        </is>
      </c>
      <c r="D10" s="30" t="inlineStr">
        <is>
          <t>bin</t>
        </is>
      </c>
      <c r="E10" s="30" t="inlineStr">
        <is>
          <t>NotStarted</t>
        </is>
      </c>
    </row>
    <row r="11">
      <c r="A11" s="30" t="inlineStr">
        <is>
          <t>CG001</t>
        </is>
      </c>
      <c r="B11" s="29" t="inlineStr">
        <is>
          <t>cg_accelerator</t>
        </is>
      </c>
      <c r="C11" s="29" t="inlineStr">
        <is>
          <t>cp_pixel.allZeross</t>
        </is>
      </c>
      <c r="D11" s="30" t="inlineStr">
        <is>
          <t>bin</t>
        </is>
      </c>
      <c r="E11" s="30" t="inlineStr">
        <is>
          <t>NotStarted</t>
        </is>
      </c>
    </row>
    <row r="12">
      <c r="A12" s="30" t="inlineStr">
        <is>
          <t>CG001</t>
        </is>
      </c>
      <c r="B12" s="29" t="inlineStr">
        <is>
          <t>cg_accelerator</t>
        </is>
      </c>
      <c r="C12" s="29" t="inlineStr">
        <is>
          <t>cp_kernel.negative</t>
        </is>
      </c>
      <c r="D12" s="30" t="inlineStr">
        <is>
          <t>bin</t>
        </is>
      </c>
      <c r="E12" s="30" t="inlineStr">
        <is>
          <t>NotStarted</t>
        </is>
      </c>
    </row>
    <row r="13">
      <c r="A13" s="30" t="inlineStr">
        <is>
          <t>CG001</t>
        </is>
      </c>
      <c r="B13" s="29" t="inlineStr">
        <is>
          <t>cg_accelerator</t>
        </is>
      </c>
      <c r="C13" s="29" t="inlineStr">
        <is>
          <t>cp_kernel.positive</t>
        </is>
      </c>
      <c r="D13" s="30" t="inlineStr">
        <is>
          <t>bin</t>
        </is>
      </c>
      <c r="E13" s="30" t="inlineStr">
        <is>
          <t>NotStarted</t>
        </is>
      </c>
    </row>
  </sheetData>
  <autoFilter ref="A1:E13"/>
  <conditionalFormatting sqref="E2:E13">
    <cfRule type="cellIs" priority="1" operator="equal" dxfId="0">
      <formula>"NotStarted"</formula>
    </cfRule>
    <cfRule type="cellIs" priority="2" operator="equal" dxfId="1">
      <formula>"Pending"</formula>
    </cfRule>
    <cfRule type="cellIs" priority="3" operator="equal" dxfId="2">
      <formula>"Hit"</formula>
    </cfRule>
    <cfRule type="cellIs" priority="4" operator="equal" dxfId="3">
      <formula>"Miss"</formula>
    </cfRule>
  </conditionalFormatting>
  <dataValidations count="2">
    <dataValidation sqref="D2:D13" showDropDown="0" showInputMessage="0" showErrorMessage="0" allowBlank="1" errorTitle="Invalid Type" error="Please choose a type from the dropdown list." type="list">
      <formula1>'Lists'!$E$2:$E$4</formula1>
    </dataValidation>
    <dataValidation sqref="E2:E13" showDropDown="0" showInputMessage="0" showErrorMessage="0" allowBlank="1" errorTitle="Invalid Status" error="Please choose a status from the dropdown list." type="list">
      <formula1>'Lists'!$D$2:$D$5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46" customWidth="1" min="4" max="4"/>
    <col width="14" customWidth="1" min="5" max="5"/>
  </cols>
  <sheetData>
    <row r="1">
      <c r="A1" s="28" t="inlineStr">
        <is>
          <t>Assert ID</t>
        </is>
      </c>
      <c r="B1" s="28" t="inlineStr">
        <is>
          <t>Assertion Name</t>
        </is>
      </c>
      <c r="C1" s="28" t="inlineStr">
        <is>
          <t>Type</t>
        </is>
      </c>
      <c r="D1" s="28" t="inlineStr">
        <is>
          <t>Property</t>
        </is>
      </c>
      <c r="E1" s="28" t="inlineStr">
        <is>
          <t>Status</t>
        </is>
      </c>
    </row>
    <row r="2">
      <c r="A2" s="30" t="inlineStr">
        <is>
          <t>SVA001</t>
        </is>
      </c>
      <c r="B2" s="29" t="inlineStr">
        <is>
          <t>start_cmd</t>
        </is>
      </c>
      <c r="C2" s="30" t="inlineStr">
        <is>
          <t>@(posedge clk) disable iff(!rst_n) start |=&gt; busy</t>
        </is>
      </c>
      <c r="D2" s="29" t="inlineStr">
        <is>
          <t>concurrent</t>
        </is>
      </c>
      <c r="E2" s="30" t="inlineStr">
        <is>
          <t>NotStarted</t>
        </is>
      </c>
    </row>
    <row r="3">
      <c r="A3" s="30" t="inlineStr">
        <is>
          <t>SVA002</t>
        </is>
      </c>
      <c r="B3" s="29" t="inlineStr">
        <is>
          <t>end_of_frame</t>
        </is>
      </c>
      <c r="C3" s="30" t="inlineStr">
        <is>
          <t>@(posedge clk) disable iff(!rst_n) (pixel_last &amp;&amp; pixel_valid) |=&gt; done</t>
        </is>
      </c>
      <c r="D3" s="29" t="inlineStr">
        <is>
          <t>concurrent</t>
        </is>
      </c>
      <c r="E3" s="30" t="inlineStr">
        <is>
          <t>NotStarted</t>
        </is>
      </c>
    </row>
  </sheetData>
  <autoFilter ref="A1:E3"/>
  <conditionalFormatting sqref="E2:E3">
    <cfRule type="cellIs" priority="1" operator="equal" dxfId="0">
      <formula>"NotStarted"</formula>
    </cfRule>
    <cfRule type="cellIs" priority="2" operator="equal" dxfId="1">
      <formula>"Pending"</formula>
    </cfRule>
    <cfRule type="cellIs" priority="3" operator="equal" dxfId="2">
      <formula>"Passed"</formula>
    </cfRule>
    <cfRule type="cellIs" priority="4" operator="equal" dxfId="3">
      <formula>"Failed"</formula>
    </cfRule>
  </conditionalFormatting>
  <dataValidations count="1">
    <dataValidation sqref="E2:E3" showDropDown="0" showInputMessage="0" showErrorMessage="0" allowBlank="1" errorTitle="Invalid Status" error="Please choose a status from the dropdown list." type="list">
      <formula1>'Lists'!$C$2:$C$5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40" customWidth="1" min="4" max="4"/>
  </cols>
  <sheetData>
    <row r="1">
      <c r="A1" s="1" t="inlineStr">
        <is>
          <t>Sweep Parameters</t>
        </is>
      </c>
    </row>
    <row r="2">
      <c r="A2" s="2" t="inlineStr">
        <is>
          <t>Every parameter and the values that are swept across test cases.</t>
        </is>
      </c>
    </row>
    <row r="4">
      <c r="A4" s="28" t="inlineStr">
        <is>
          <t>Module ID</t>
        </is>
      </c>
      <c r="B4" s="28" t="inlineStr">
        <is>
          <t>Parameter</t>
        </is>
      </c>
      <c r="C4" s="28" t="inlineStr">
        <is>
          <t>Value Index</t>
        </is>
      </c>
      <c r="D4" s="28" t="inlineStr">
        <is>
          <t>Value</t>
        </is>
      </c>
    </row>
    <row r="5">
      <c r="A5" s="30" t="inlineStr">
        <is>
          <t>M001</t>
        </is>
      </c>
      <c r="B5" s="29" t="inlineStr">
        <is>
          <t>rst_n</t>
        </is>
      </c>
      <c r="C5" s="30" t="n">
        <v>1</v>
      </c>
      <c r="D5" s="29" t="inlineStr">
        <is>
          <t>AssertReset</t>
        </is>
      </c>
    </row>
    <row r="6">
      <c r="A6" s="30" t="inlineStr">
        <is>
          <t>M001</t>
        </is>
      </c>
      <c r="B6" s="29" t="inlineStr">
        <is>
          <t>rst_n</t>
        </is>
      </c>
      <c r="C6" s="30" t="n">
        <v>2</v>
      </c>
      <c r="D6" s="29" t="inlineStr">
        <is>
          <t>ReleaseReset</t>
        </is>
      </c>
    </row>
    <row r="7">
      <c r="A7" s="30" t="inlineStr">
        <is>
          <t>M001</t>
        </is>
      </c>
      <c r="B7" s="29" t="inlineStr">
        <is>
          <t>start</t>
        </is>
      </c>
      <c r="C7" s="30" t="n">
        <v>1</v>
      </c>
      <c r="D7" s="29" t="inlineStr">
        <is>
          <t>1'b0</t>
        </is>
      </c>
    </row>
    <row r="8">
      <c r="A8" s="30" t="inlineStr">
        <is>
          <t>M001</t>
        </is>
      </c>
      <c r="B8" s="29" t="inlineStr">
        <is>
          <t>start</t>
        </is>
      </c>
      <c r="C8" s="30" t="n">
        <v>2</v>
      </c>
      <c r="D8" s="29" t="inlineStr">
        <is>
          <t>1'b1</t>
        </is>
      </c>
    </row>
    <row r="9">
      <c r="A9" s="30" t="inlineStr">
        <is>
          <t>M001</t>
        </is>
      </c>
      <c r="B9" s="29" t="inlineStr">
        <is>
          <t>kernel</t>
        </is>
      </c>
      <c r="C9" s="30" t="n">
        <v>1</v>
      </c>
      <c r="D9" s="29" t="inlineStr">
        <is>
          <t>AllZeros</t>
        </is>
      </c>
    </row>
    <row r="10">
      <c r="A10" s="30" t="inlineStr">
        <is>
          <t>M001</t>
        </is>
      </c>
      <c r="B10" s="29" t="inlineStr">
        <is>
          <t>kernel</t>
        </is>
      </c>
      <c r="C10" s="30" t="n">
        <v>2</v>
      </c>
      <c r="D10" s="29" t="inlineStr">
        <is>
          <t>AllOnes</t>
        </is>
      </c>
    </row>
    <row r="11">
      <c r="A11" s="30" t="inlineStr">
        <is>
          <t>M001</t>
        </is>
      </c>
      <c r="B11" s="29" t="inlineStr">
        <is>
          <t>kernel</t>
        </is>
      </c>
      <c r="C11" s="30" t="n">
        <v>3</v>
      </c>
      <c r="D11" s="29" t="inlineStr">
        <is>
          <t>AllNegative</t>
        </is>
      </c>
    </row>
    <row r="12">
      <c r="A12" s="30" t="inlineStr">
        <is>
          <t>M001</t>
        </is>
      </c>
      <c r="B12" s="29" t="inlineStr">
        <is>
          <t>kernel</t>
        </is>
      </c>
      <c r="C12" s="30" t="n">
        <v>4</v>
      </c>
      <c r="D12" s="29" t="inlineStr">
        <is>
          <t>RANDOM</t>
        </is>
      </c>
    </row>
    <row r="13">
      <c r="A13" s="30" t="inlineStr">
        <is>
          <t>M001</t>
        </is>
      </c>
      <c r="B13" s="29" t="inlineStr">
        <is>
          <t>InputImg</t>
        </is>
      </c>
      <c r="C13" s="30" t="n">
        <v>1</v>
      </c>
      <c r="D13" s="29" t="inlineStr">
        <is>
          <t>Black</t>
        </is>
      </c>
    </row>
    <row r="14">
      <c r="A14" s="30" t="inlineStr">
        <is>
          <t>M001</t>
        </is>
      </c>
      <c r="B14" s="29" t="inlineStr">
        <is>
          <t>InputImg</t>
        </is>
      </c>
      <c r="C14" s="30" t="n">
        <v>2</v>
      </c>
      <c r="D14" s="29" t="inlineStr">
        <is>
          <t>White</t>
        </is>
      </c>
    </row>
    <row r="15">
      <c r="A15" s="30" t="inlineStr">
        <is>
          <t>M001</t>
        </is>
      </c>
      <c r="B15" s="29" t="inlineStr">
        <is>
          <t>InputImg</t>
        </is>
      </c>
      <c r="C15" s="30" t="n">
        <v>3</v>
      </c>
      <c r="D15" s="29" t="inlineStr">
        <is>
          <t>VirticalEdge</t>
        </is>
      </c>
    </row>
    <row r="16">
      <c r="A16" s="30" t="inlineStr">
        <is>
          <t>M001</t>
        </is>
      </c>
      <c r="B16" s="29" t="inlineStr">
        <is>
          <t>InputImg</t>
        </is>
      </c>
      <c r="C16" s="30" t="n">
        <v>4</v>
      </c>
      <c r="D16" s="29" t="inlineStr">
        <is>
          <t>HorizontalEdge</t>
        </is>
      </c>
    </row>
    <row r="17">
      <c r="A17" s="30" t="inlineStr">
        <is>
          <t>M001</t>
        </is>
      </c>
      <c r="B17" s="29" t="inlineStr">
        <is>
          <t>InputImg</t>
        </is>
      </c>
      <c r="C17" s="30" t="n">
        <v>5</v>
      </c>
      <c r="D17" s="29" t="inlineStr">
        <is>
          <t>CenteredImpulse</t>
        </is>
      </c>
    </row>
    <row r="18">
      <c r="A18" s="30" t="inlineStr">
        <is>
          <t>M001</t>
        </is>
      </c>
      <c r="B18" s="29" t="inlineStr">
        <is>
          <t>InputImg</t>
        </is>
      </c>
      <c r="C18" s="30" t="n">
        <v>6</v>
      </c>
      <c r="D18" s="29" t="inlineStr">
        <is>
          <t>CenteredSquare</t>
        </is>
      </c>
    </row>
    <row r="19">
      <c r="A19" s="30" t="inlineStr">
        <is>
          <t>M001</t>
        </is>
      </c>
      <c r="B19" s="29" t="inlineStr">
        <is>
          <t>InputImg</t>
        </is>
      </c>
      <c r="C19" s="30" t="n">
        <v>7</v>
      </c>
      <c r="D19" s="29" t="inlineStr">
        <is>
          <t>RANDOM</t>
        </is>
      </c>
    </row>
    <row r="20">
      <c r="A20" s="30" t="inlineStr">
        <is>
          <t>M001</t>
        </is>
      </c>
      <c r="B20" s="29" t="inlineStr">
        <is>
          <t>N</t>
        </is>
      </c>
      <c r="C20" s="30" t="n">
        <v>1</v>
      </c>
      <c r="D20" s="29" t="inlineStr">
        <is>
          <t>3</t>
        </is>
      </c>
    </row>
    <row r="21">
      <c r="A21" s="30" t="inlineStr">
        <is>
          <t>M001</t>
        </is>
      </c>
      <c r="B21" s="29" t="inlineStr">
        <is>
          <t>N</t>
        </is>
      </c>
      <c r="C21" s="30" t="n">
        <v>2</v>
      </c>
      <c r="D21" s="29" t="inlineStr">
        <is>
          <t>5</t>
        </is>
      </c>
    </row>
    <row r="22">
      <c r="A22" s="30" t="inlineStr">
        <is>
          <t>M001</t>
        </is>
      </c>
      <c r="B22" s="29" t="inlineStr">
        <is>
          <t>N</t>
        </is>
      </c>
      <c r="C22" s="30" t="n">
        <v>3</v>
      </c>
      <c r="D22" s="29" t="inlineStr">
        <is>
          <t>7</t>
        </is>
      </c>
    </row>
    <row r="23">
      <c r="A23" s="30" t="inlineStr">
        <is>
          <t>M001</t>
        </is>
      </c>
      <c r="B23" s="29" t="inlineStr">
        <is>
          <t>output_raddr</t>
        </is>
      </c>
      <c r="C23" s="30" t="n">
        <v>1</v>
      </c>
      <c r="D23" s="29" t="inlineStr">
        <is>
          <t>0</t>
        </is>
      </c>
    </row>
    <row r="24">
      <c r="A24" s="30" t="inlineStr">
        <is>
          <t>M001</t>
        </is>
      </c>
      <c r="B24" s="29" t="inlineStr">
        <is>
          <t>output_raddr</t>
        </is>
      </c>
      <c r="C24" s="30" t="n">
        <v>2</v>
      </c>
      <c r="D24" s="29" t="inlineStr">
        <is>
          <t>OUT_DEPTH-1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2026-09-01T22:15:11Z</dcterms:created>
  <dcterms:modified xmlns:dcterms="http://purl.org/dc/terms/" xmlns:xsi="http://www.w3.org/2001/XMLSchema-instance" xsi:type="dcterms:W3CDTF">2026-09-01T22:15:11Z</dcterms:modified>
</cp:coreProperties>
</file>